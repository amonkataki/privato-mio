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stafa.ali\Videos\"/>
    </mc:Choice>
  </mc:AlternateContent>
  <xr:revisionPtr revIDLastSave="0" documentId="8_{77B6A183-80E9-454E-BDDA-9D019CED2EEA}" xr6:coauthVersionLast="47" xr6:coauthVersionMax="47" xr10:uidLastSave="{00000000-0000-0000-0000-000000000000}"/>
  <bookViews>
    <workbookView xWindow="-120" yWindow="-120" windowWidth="38640" windowHeight="21120" xr2:uid="{00000000-000D-0000-FFFF-FFFF00000000}"/>
  </bookViews>
  <sheets>
    <sheet name="Analisi E27 — CAIM" sheetId="1" r:id="rId1"/>
    <sheet name="Riepilogo" sheetId="3" r:id="rId2"/>
    <sheet name="Legenda"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8" i="3" l="1"/>
  <c r="D68" i="3"/>
  <c r="C68" i="3"/>
  <c r="B68" i="3"/>
  <c r="E67" i="3"/>
  <c r="D67" i="3"/>
  <c r="C67" i="3"/>
  <c r="B67" i="3"/>
  <c r="E66" i="3"/>
  <c r="D66" i="3"/>
  <c r="C66" i="3"/>
  <c r="B66" i="3"/>
  <c r="E65" i="3"/>
  <c r="D65" i="3"/>
  <c r="C65" i="3"/>
  <c r="B65" i="3"/>
  <c r="E64" i="3"/>
  <c r="D64" i="3"/>
  <c r="C64" i="3"/>
  <c r="B64" i="3"/>
  <c r="E63" i="3"/>
  <c r="D63" i="3"/>
  <c r="C63" i="3"/>
  <c r="B63" i="3"/>
  <c r="E62" i="3"/>
  <c r="D62" i="3"/>
  <c r="C62" i="3"/>
  <c r="B62" i="3"/>
  <c r="E60" i="3"/>
  <c r="D60" i="3"/>
  <c r="C60" i="3"/>
  <c r="B60" i="3"/>
  <c r="E59" i="3"/>
  <c r="D59" i="3"/>
  <c r="C59" i="3"/>
  <c r="B59" i="3"/>
  <c r="E58" i="3"/>
  <c r="D58" i="3"/>
  <c r="C58" i="3"/>
  <c r="B58" i="3"/>
  <c r="E56" i="3"/>
  <c r="D56" i="3"/>
  <c r="C56" i="3"/>
  <c r="B56" i="3"/>
  <c r="E55" i="3"/>
  <c r="D55" i="3"/>
  <c r="C55" i="3"/>
  <c r="B55" i="3"/>
  <c r="E54" i="3"/>
  <c r="D54" i="3"/>
  <c r="C54" i="3"/>
  <c r="B54" i="3"/>
  <c r="E53" i="3"/>
  <c r="D53" i="3"/>
  <c r="C53" i="3"/>
  <c r="B53" i="3"/>
  <c r="E52" i="3"/>
  <c r="D52" i="3"/>
  <c r="C52" i="3"/>
  <c r="B52" i="3"/>
  <c r="E51" i="3"/>
  <c r="D51" i="3"/>
  <c r="C51" i="3"/>
  <c r="B51" i="3"/>
  <c r="E50" i="3"/>
  <c r="D50" i="3"/>
  <c r="C50" i="3"/>
  <c r="B50" i="3"/>
  <c r="E49" i="3"/>
  <c r="D49" i="3"/>
  <c r="C49" i="3"/>
  <c r="B49" i="3"/>
  <c r="E48" i="3"/>
  <c r="D48" i="3"/>
  <c r="C48" i="3"/>
  <c r="B48" i="3"/>
  <c r="E47" i="3"/>
  <c r="D47" i="3"/>
  <c r="C47" i="3"/>
  <c r="B47" i="3"/>
  <c r="E46" i="3"/>
  <c r="D46" i="3"/>
  <c r="C46" i="3"/>
  <c r="B46" i="3"/>
  <c r="E44" i="3"/>
  <c r="D44" i="3"/>
  <c r="C44" i="3"/>
  <c r="B44" i="3"/>
  <c r="E43" i="3"/>
  <c r="D43" i="3"/>
  <c r="C43" i="3"/>
  <c r="B43" i="3"/>
  <c r="E42" i="3"/>
  <c r="D42" i="3"/>
  <c r="C42" i="3"/>
  <c r="B42" i="3"/>
  <c r="E41" i="3"/>
  <c r="D41" i="3"/>
  <c r="C41" i="3"/>
  <c r="B41" i="3"/>
  <c r="E40" i="3"/>
  <c r="D40" i="3"/>
  <c r="C40" i="3"/>
  <c r="B40" i="3"/>
  <c r="E39" i="3"/>
  <c r="D39" i="3"/>
  <c r="C39" i="3"/>
  <c r="B39" i="3"/>
  <c r="E38" i="3"/>
  <c r="D38" i="3"/>
  <c r="C38" i="3"/>
  <c r="B38" i="3"/>
  <c r="E37" i="3"/>
  <c r="D37" i="3"/>
  <c r="C37" i="3"/>
  <c r="B37" i="3"/>
  <c r="E36" i="3"/>
  <c r="D36" i="3"/>
  <c r="C36" i="3"/>
  <c r="B36" i="3"/>
  <c r="E35" i="3"/>
  <c r="D35" i="3"/>
  <c r="C35" i="3"/>
  <c r="B35" i="3"/>
  <c r="E34" i="3"/>
  <c r="D34" i="3"/>
  <c r="C34" i="3"/>
  <c r="B34" i="3"/>
  <c r="E33" i="3"/>
  <c r="D33" i="3"/>
  <c r="C33" i="3"/>
  <c r="B33" i="3"/>
  <c r="E32" i="3"/>
  <c r="D32" i="3"/>
  <c r="C32" i="3"/>
  <c r="B32" i="3"/>
  <c r="E31" i="3"/>
  <c r="D31" i="3"/>
  <c r="C31" i="3"/>
  <c r="B31" i="3"/>
  <c r="E30" i="3"/>
  <c r="D30" i="3"/>
  <c r="C30" i="3"/>
  <c r="B30" i="3"/>
  <c r="E29" i="3"/>
  <c r="D29" i="3"/>
  <c r="C29" i="3"/>
  <c r="B29" i="3"/>
  <c r="E28" i="3"/>
  <c r="D28" i="3"/>
  <c r="C28" i="3"/>
  <c r="B28" i="3"/>
  <c r="E27" i="3"/>
  <c r="D27" i="3"/>
  <c r="C27" i="3"/>
  <c r="B27" i="3"/>
  <c r="E26" i="3"/>
  <c r="D26" i="3"/>
  <c r="C26" i="3"/>
  <c r="B26" i="3"/>
  <c r="E25" i="3"/>
  <c r="D25" i="3"/>
  <c r="C25" i="3"/>
  <c r="B25" i="3"/>
  <c r="E24" i="3"/>
  <c r="D24" i="3"/>
  <c r="C24" i="3"/>
  <c r="B24" i="3"/>
  <c r="E23" i="3"/>
  <c r="D23" i="3"/>
  <c r="C23" i="3"/>
  <c r="B23" i="3"/>
  <c r="E22" i="3"/>
  <c r="D22" i="3"/>
  <c r="C22" i="3"/>
  <c r="B22" i="3"/>
  <c r="E21" i="3"/>
  <c r="D21" i="3"/>
  <c r="C21" i="3"/>
  <c r="B21" i="3"/>
  <c r="E20" i="3"/>
  <c r="D20" i="3"/>
  <c r="C20" i="3"/>
  <c r="B20" i="3"/>
  <c r="E19" i="3"/>
  <c r="D19" i="3"/>
  <c r="C19" i="3"/>
  <c r="B19" i="3"/>
  <c r="E18" i="3"/>
  <c r="D18" i="3"/>
  <c r="C18" i="3"/>
  <c r="B18" i="3"/>
  <c r="E17" i="3"/>
  <c r="D17" i="3"/>
  <c r="C17" i="3"/>
  <c r="B17" i="3"/>
  <c r="E16" i="3"/>
  <c r="D16" i="3"/>
  <c r="C16" i="3"/>
  <c r="B16" i="3"/>
  <c r="E15" i="3"/>
  <c r="D15" i="3"/>
  <c r="C15" i="3"/>
  <c r="B15" i="3"/>
  <c r="D9" i="3"/>
  <c r="E9" i="3" s="1"/>
  <c r="C9" i="3"/>
  <c r="D8" i="3"/>
  <c r="C8" i="3"/>
  <c r="D7" i="3"/>
  <c r="E7" i="3" s="1"/>
  <c r="C7" i="3"/>
  <c r="D6" i="3"/>
  <c r="C6" i="3"/>
  <c r="D5" i="3"/>
  <c r="E5" i="3" s="1"/>
  <c r="C5" i="3"/>
  <c r="E8" i="3" l="1"/>
  <c r="C10" i="3"/>
  <c r="E6" i="3"/>
</calcChain>
</file>

<file path=xl/sharedStrings.xml><?xml version="1.0" encoding="utf-8"?>
<sst xmlns="http://schemas.openxmlformats.org/spreadsheetml/2006/main" count="532" uniqueCount="389">
  <si>
    <t>Analisi IACS UR E27 (sez. 4.1 + 4.2) — CAIM (NaviGate + NGBox + NGLinq + ADP/e-NP) — GNV</t>
  </si>
  <si>
    <t>HWG Sababa — Aprile 2026 | Fonti: NGBOX-NGLINQ Standard Configuration Guide_v.1.0.pdf (24/07/2025), NaviGate_ADP_eNP_IT_Reference_Guide.pdf, Navigate Basic Procedures for User_v.2.0.pdf (11/03/2026), NaviGate_Backup and Restore.pdf (cap. 23), NaviGate_Activation_Master (1).pdf, NAVIGATE_How_Activate_Backup_Station (1).pdf, ALTAIR.txt + File multimediali.jpeg + File multimediali (1).jpeg (documentazione installazione GNV Altair, foto postazioni primaria/backup del 05/03/2026 ore 11:37/11:38: Hostname ALTD102058/ALTD102061, IP 172.16.128.228/231, username 'rt'), GNV_Systems_2026-04-17.xlsx tab CAIM. Per i criteri di classificazione stati, vedere foglio 'Legenda'.</t>
  </si>
  <si>
    <t>#</t>
  </si>
  <si>
    <t>Controllo E27</t>
  </si>
  <si>
    <t>Rif. IEC</t>
  </si>
  <si>
    <t>Cosa sappiamo</t>
  </si>
  <si>
    <t>Da dove viene l'informazione</t>
  </si>
  <si>
    <t>Stato</t>
  </si>
  <si>
    <t>Cosa manca / criticità</t>
  </si>
  <si>
    <t>Cosa fare</t>
  </si>
  <si>
    <t>Priorità</t>
  </si>
  <si>
    <t>FR1 — Identificazione e autenticazione</t>
  </si>
  <si>
    <t>Identificazione utente</t>
  </si>
  <si>
    <t>SR 1.1</t>
  </si>
  <si>
    <t>CAIM installato su 2 PC Windows dedicati (Master + Slave) per nave. Su GNV Altair: Hostname ALTD102058 (primario) e ALTD102061 (backup), entrambi con username 'rt' (username condiviso tra le due postazioni). L'accesso al NGBox richiede privilegi Administrator pieni per l'esecuzione del software.</t>
  </si>
  <si>
    <t>NaviGate_ADP_eNP_IT_Reference_Guide.pdf sez. 2.1 (Full Administrator Rights)
ALTAIR.txt (documentazione installazione GNV Altair: ALTD102058/ALTD102061, 172.16.128.228/231, username 'rt')</t>
  </si>
  <si>
    <t>PARZIALMENTE CONFORME</t>
  </si>
  <si>
    <t>Username 'rt' condiviso tra postazione primaria e backup — account condiviso, non individuale. Non è possibile tracciare quale operatore ha eseguito un'azione. Requisito Administrator pieno applica privilegi elevati a un account condiviso.</t>
  </si>
  <si>
    <t>Richiedere a CAIM se il software supporta account individuali. Concordare con GNV la creazione di account individuali per ogni operatore che usa le postazioni NaviGate, con traccia degli accessi.</t>
  </si>
  <si>
    <t>MEDIA</t>
  </si>
  <si>
    <t>Gestione account</t>
  </si>
  <si>
    <t>SR 1.3</t>
  </si>
  <si>
    <t>Nessuna procedura formale di lifecycle account documentata nei manuali ricevuti. Gli utenti locali Windows sulle postazioni GNV Altair ('rt') sono gestiti presumibilmente via procedure GNV/Dastech.</t>
  </si>
  <si>
    <t>Inferenza dai manuali CAIM (che non trattano lifecycle account)</t>
  </si>
  <si>
    <t>DA VERIFICARE</t>
  </si>
  <si>
    <t>Manca procedura di creazione, modifica, revoca account. La gestione di 'rt' a bordo è incerta.</t>
  </si>
  <si>
    <t>Richiedere a Dastech/GNV chi gestisce l'account Windows 'rt' sulle postazioni Altair (e sulle altre navi). Definire procedura di lifecycle.</t>
  </si>
  <si>
    <t>Gestione ruoli</t>
  </si>
  <si>
    <t>SR 1.4</t>
  </si>
  <si>
    <t>NaviGate non documenta ruoli interni all'applicazione. Il software funziona in modalità Master o Slave (architettura a 2 postazioni, solo una attiva alla volta come Master).</t>
  </si>
  <si>
    <t>Navigate Basic Procedures for User_v.2.0.pdf (11/03/2026) (ruoli Master/Slave)</t>
  </si>
  <si>
    <t>Il concetto di 'ruolo' esiste a livello di stazione (Master vs Slave), non di utente. Nessun modello granulare ruolo/privilegio interno.</t>
  </si>
  <si>
    <t>Richiedere a CAIM se esistono ruoli utente distinti nel software (es. read-only vs editor). Se no, prendere atto del limite.</t>
  </si>
  <si>
    <t>BASSA</t>
  </si>
  <si>
    <t>Gestione credenziali</t>
  </si>
  <si>
    <t>SR 1.5</t>
  </si>
  <si>
    <t>Credenziali di default pubblicate nel manuale ufficiale CAIM: NGBox Computer 'admin' / 'Ngbox_2024!' e Mikrotik Router 'admin' / 'Ngbox_2024!'. Le credenziali sono identiche per NGBox e Mikrotik e presumibilmente identiche su tutte le navi che ricevono il sistema. TeamViewer pre-installato con credenziali gestite da CAIM Support (non note a GNV).</t>
  </si>
  <si>
    <t>NGBOX-NGLINQ Standard Configuration Guide_v.1.0.pdf (24/07/2025) sez. 3 'Credentials'</t>
  </si>
  <si>
    <t>Le credenziali di default sono documentate in un manuale tecnico distribuito ai clienti ma non sono segrete. Se non cambiate al commissioning, forniscono accesso ad admin NGBox e Mikrotik a chiunque abbia letto il manuale. Il problema è sistemico: stesse credenziali su tutta la flotta NaviGate. Riguarda confidenzialità e autenticazione. La mitigazione è responsabilità del cliente al commissioning.</t>
  </si>
  <si>
    <t>1) Verificare per ciascuna nave GNV che le credenziali di default NGBox e Mikrotik siano state cambiate al commissioning. 2) Richiedere a CAIM policy formale di change password obbligatorio al commissioning + meccanismo di conferma (es. ticket di installazione firmato). 3) Gestire centralmente le credenziali TeamViewer (se TeamViewer resta attivo) in un password manager GNV.</t>
  </si>
  <si>
    <t>ALTA</t>
  </si>
  <si>
    <t>Accesso wireless</t>
  </si>
  <si>
    <t>SR 1.6</t>
  </si>
  <si>
    <t>Architettura CAIM include WiFi attivo: il MikroTik Router ha interfaccia WiFi che serve la chiavetta NGLinq USB collegata all'ECDIS (comunicazione WiFi NGLinq↔MikroTik). Raccomandazione produttore: NGLinq entro 5 metri dal MikroTik. Il NGBox è invece collegato via LAN cablata al MikroTik.</t>
  </si>
  <si>
    <t>NGBOX-NGLINQ Standard Configuration Guide_v.1.0.pdf (24/07/2025) sez. 2 'Connections', sez. 4 'Network Default Configuration', sez. 6 'NGLinq'</t>
  </si>
  <si>
    <t>WiFi presente e attivo nella configurazione standard. La rete WiFi del MikroTik trasporta i dati cartografici tra NGLinq e NGBox — dati non confidenziali ma l'attaccante in range può interagire con il router se non protetto. Non documentato quale protezione WiFi (WPA2/WPA3, lunghezza chiave, rotazione) sia applicata su GNV.</t>
  </si>
  <si>
    <t>Richiedere a CAIM/Dastech: (1) protocollo WiFi configurato (WPA2/WPA3), (2) complessità chiave, (3) isolamento della rete WiFi MikroTik rispetto alla Ship LAN, (4) se il WiFi è mai stato disabilitato su qualche nave dove l'NGLinq non è usato.</t>
  </si>
  <si>
    <t>Robustezza password</t>
  </si>
  <si>
    <t>SR 1.7</t>
  </si>
  <si>
    <t>Password di default 'Ngbox_2024!' rispetta requisiti minimi classici (8+ caratteri, maiuscole, minuscole, numeri, speciale) ma è una password pubblicata nel manuale. Nessuna policy password documentata da CAIM per l'applicazione o il sistema operativo.</t>
  </si>
  <si>
    <t>NGBOX-NGLINQ Standard Configuration Guide_v.1.0.pdf (24/07/2025) sez. 3</t>
  </si>
  <si>
    <t>La stringa rispetta la complessità minima ma non la segretezza. Nessuna policy password CAIM documentata: complessità, scadenza, storia, lockout.</t>
  </si>
  <si>
    <t>Richiedere a CAIM policy password formale. Applicare su GNV policy password robusta via GPO/locale per account Windows 'rt' e credenziali NGBox/Mikrotik post-commissioning.</t>
  </si>
  <si>
    <t>Mascheratura password</t>
  </si>
  <si>
    <t>SR 1.10</t>
  </si>
  <si>
    <t>Applicazione NaviGate desktop standard Windows. Login Windows standard maschera password. Prassi CAIM non dichiarata esplicitamente ma coerente con standard Windows.</t>
  </si>
  <si>
    <t>Prassi standard applicazioni Windows</t>
  </si>
  <si>
    <t>CONFORME</t>
  </si>
  <si>
    <t>Assunto coerente. Verifica visiva durante visita bordo.</t>
  </si>
  <si>
    <t>Verifica visiva durante visita bordo.</t>
  </si>
  <si>
    <t>FR2 — Controllo degli accessi e audit</t>
  </si>
  <si>
    <t>Minimo privilegio</t>
  </si>
  <si>
    <t>SR 2.1</t>
  </si>
  <si>
    <t>CAIM richiede esplicitamente 'Full Administrator Rights' per l'esecuzione del software: 'Restricted user accounts will cause operational failures'. L'account 'rt' su GNV Altair è quindi presumibilmente Administrator locale.</t>
  </si>
  <si>
    <t>NaviGate_ADP_eNP_IT_Reference_Guide.pdf sez. 2.1 'User Privileges'</t>
  </si>
  <si>
    <t>NON CONFORME</t>
  </si>
  <si>
    <t>Violazione diretta del principio del minimo privilegio: l'account utente operativo di bordo ha privilegi di Administrator pieni per esigenze applicative. Un'eventuale compromissione dell'account 'rt' darebbe accesso Administrator al PC.</t>
  </si>
  <si>
    <t>1) Richiedere a CAIM se esiste una modalità di esecuzione con privilegi ridotti (es. solo admin per installazione, utente standard per esecuzione). 2) Se il requisito Administrator è strutturale, formalizzare come finding e concordare compensating controls (application whitelisting, EDR, MFA login locale).</t>
  </si>
  <si>
    <t>Controllo wireless</t>
  </si>
  <si>
    <t>SR 2.2</t>
  </si>
  <si>
    <t>Il MikroTik Router ha WiFi attivo per comunicazione con NGLinq (vedi item 5). Nessun controllo formale sull'uso del WiFi documentato (authorization, monitoring, enforcement).</t>
  </si>
  <si>
    <t>NGBOX-NGLINQ Standard Configuration Guide_v.1.0.pdf (24/07/2025) sez. 2, 4</t>
  </si>
  <si>
    <t>WiFi attivo senza policy documentata di controllo uso, monitoring, authorization. Accesso al MikroTik come admin (credenziali default Ngbox_2024!) permetterebbe modifiche alla config WiFi.</t>
  </si>
  <si>
    <t>Richiedere a CAIM/Dastech: policy sul WiFi MikroTik, logging degli accessi, meccanismi di authorization (es. MAC filtering NGLinq).</t>
  </si>
  <si>
    <t>Dispositivi USB</t>
  </si>
  <si>
    <t>SR 2.3</t>
  </si>
  <si>
    <t>L'architettura CAIM USA una chiavetta USB (NGLinq) come componente operativo: si collega all'ECDIS. La presenza di porte USB attive è strutturale al funzionamento del sistema. Il manuale Backup prevede scrittura su 'Pendrive folder' come opzione (USB storage usato esplicitamente). Sul NGBox e sui PC NaviGate Master/Slave le porte USB sono usate per tastiera/mouse.</t>
  </si>
  <si>
    <t>NGBOX-NGLINQ Standard Configuration Guide_v.1.0.pdf (24/07/2025) sez. 1, 6 (NGLinq USB)
NaviGate_Backup and Restore.pdf (cap. 23)</t>
  </si>
  <si>
    <t>USB non può essere disabilitata (NGLinq richiede USB per funzionare). Il backup può essere fatto su USB storage. Nessun whitelisting di device USB né mass storage controls documentati. L'USB del NGLinq NON è usata solo per NGLinq: una USB generica potrebbe essere inserita nella stessa porta.</t>
  </si>
  <si>
    <t>1) Richiedere a CAIM se NGLinq espone un device identifier univoco verificabile. 2) Applicare hardening USB su GNV (via GPO/EDR): whitelist NGLinq, blocco USB mass storage generico. 3) Policy operativa GNV: non usare pendrive per backup (usare cartelle di rete).</t>
  </si>
  <si>
    <t>Mobile code</t>
  </si>
  <si>
    <t>SR 2.4</t>
  </si>
  <si>
    <t>NaviGate è applicazione desktop basata su .NET Framework 4.8. Non documentato uso di mobile code (ActiveX, Flash, JavaScript embedded).</t>
  </si>
  <si>
    <t>NaviGate_ADP_eNP_IT_Reference_Guide.pdf sez. 3.2 (requisito .NET 4.8)</t>
  </si>
  <si>
    <t>Architettura desktop .NET non predilige mobile code insicuro.</t>
  </si>
  <si>
    <t>Richiedere a CAIM conferma esplicita assenza di componenti web browser embedded o mobile code.</t>
  </si>
  <si>
    <t>Blocco sessione</t>
  </si>
  <si>
    <t>SR 2.5</t>
  </si>
  <si>
    <t>Non documentato timeout sessione NaviGate. Sul Windows dei PC GNV Altair presumibilmente vige policy GNV standard (lock screen dopo inattività), ma non confermata.</t>
  </si>
  <si>
    <t>Non documentato</t>
  </si>
  <si>
    <t>Timeout sessione applicativo NaviGate non documentato. Timeout OS Windows GNV da verificare.</t>
  </si>
  <si>
    <t>Richiedere a CAIM: timeout inattività NaviGate. Verificare con Dastech/GNV policy lock screen Windows su PC CAIM.</t>
  </si>
  <si>
    <t>Log eventi sicurezza</t>
  </si>
  <si>
    <t>SR 2.8</t>
  </si>
  <si>
    <t>Nessuna informazione nei manuali CAIM su generazione log di audit (accessi, modifiche configurazione, operazioni critiche). Il sistema registra attività operativa (calcoli, rotte, pubblicazioni) ma non è chiaro se genera audit trail di sicurezza.</t>
  </si>
  <si>
    <t>Non documentato nei manuali CAIM</t>
  </si>
  <si>
    <t>Gap di documentazione sul logging di sicurezza. Eventi registrati da NaviGate: non classificati. Su Windows, log eventi standard disponibili ma non esplicitamente integrati.</t>
  </si>
  <si>
    <t>Richiedere a CAIM: elenco eventi di sicurezza loggati da NaviGate e NGBox (login, logout, failed attempts, modifiche config, errori attivazione), formato, percorso storage, retention.</t>
  </si>
  <si>
    <t>Spazio storage log</t>
  </si>
  <si>
    <t>SR 2.9</t>
  </si>
  <si>
    <t>Non documentato. Spazio per data archive applicativo: 5 GB minimi (dati cartografici e pubblicazioni), non log.</t>
  </si>
  <si>
    <t>NaviGate_ADP_eNP_IT_Reference_Guide.pdf sez. 3.2 (5 GB disk space)</t>
  </si>
  <si>
    <t>Storage log, retention, rotazione non documentati.</t>
  </si>
  <si>
    <t>Richiedere a CAIM.</t>
  </si>
  <si>
    <t>Failure del logging</t>
  </si>
  <si>
    <t>SR 2.10</t>
  </si>
  <si>
    <t>Non documentato.</t>
  </si>
  <si>
    <t>Comportamento in caso di failure del logging non documentato.</t>
  </si>
  <si>
    <t>Timestamp nei log</t>
  </si>
  <si>
    <t>SR 2.11</t>
  </si>
  <si>
    <t>Non documentato. Windows sincronizza tipicamente con W32Time: per PC dedicati CAIM dipende dalla configurazione GNV/Dastech.</t>
  </si>
  <si>
    <t>Presenza e sincronizzazione timestamp non confermate.</t>
  </si>
  <si>
    <t>Verificare con Dastech se i PC CAIM sincronizzano con NTP interno GNV.</t>
  </si>
  <si>
    <t>FR3 — Integrità del sistema</t>
  </si>
  <si>
    <t>Integrità comunicazioni</t>
  </si>
  <si>
    <t>SR 3.1</t>
  </si>
  <si>
    <t>Traffico principale verso cloud in HTTPS (TLS 1.2+ richiesto esplicitamente come minimo). Configurazione firewall: maritimegate.net:443 (nGateway.exe), www.admiralty.co.uk:443, enavigator.ukho.gov.uk:443. HTTP fallback (porta 80) documentato come opzione configurabile: 'replace https://maritimegate.net with http://maritimegate.net'. FTP su porta 21 (passive) per e-NP, porte 20-21 per adpactivation.ukho.gov.uk.</t>
  </si>
  <si>
    <t>NGBOX-NGLINQ Standard Configuration Guide_v.1.0.pdf (24/07/2025) sez. 7.3
NaviGate_ADP_eNP_IT_Reference_Guide.pdf sez. 3-6</t>
  </si>
  <si>
    <t>HTTPS default OK. Problema: HTTP fallback documentato ESPLICITAMENTE come opzione permessa (se la nave non supporta HTTPS). FTP per e-NP e attivazione ADP sono protocolli in chiaro per definizione.</t>
  </si>
  <si>
    <t>1) Verificare per ciascuna nave GNV che sia effettivamente in uso HTTPS e non il fallback HTTP. 2) Richiedere a CAIM integrità sugli aggiornamenti pubblicazioni scaricati via FTP (firma digitale, hash). 3) Formalizzare policy GNV: HTTP mai usato come fallback.</t>
  </si>
  <si>
    <t>Protezione malware</t>
  </si>
  <si>
    <t>SR 3.2</t>
  </si>
  <si>
    <t>NGBox gira Windows con 'pre-configured through Clonezilla'. Il manuale raccomanda solo Windows supportati da Microsoft. Nessuna indicazione esplicita su antivirus: non è richiesto né escluso.</t>
  </si>
  <si>
    <t>NGBOX-NGLINQ Standard Configuration Guide_v.1.0.pdf (24/07/2025) sez. 1
NaviGate_ADP_eNP_IT_Reference_Guide.pdf sez. 2.1</t>
  </si>
  <si>
    <t>Policy antivirus CAIM non dichiarata. Compatibilità CAIM con antivirus/EDR enterprise non documentata (possibili falsi positivi su nGateway.exe).</t>
  </si>
  <si>
    <t>Richiedere a CAIM: antivirus/EDR supportati, eventuali esclusioni richieste per processi CAIM (NaviGate.exe, nGateway.exe, nGatewayManager.exe).</t>
  </si>
  <si>
    <t>Test sicurezza</t>
  </si>
  <si>
    <t>SR 3.3</t>
  </si>
  <si>
    <t>Nessuna informazione su test di sicurezza o certificazioni cybersecurity del prodotto nei manuali ricevuti.</t>
  </si>
  <si>
    <t>Assenza di evidenze di penetration test, vulnerability assessment, type approval cyber.</t>
  </si>
  <si>
    <t>Richiedere a CAIM: evidenze di test di sicurezza, certificazioni RINA/DNV/BV. Pianificare FAT/SAT cyber per installazioni GNV.</t>
  </si>
  <si>
    <t>Stato sicuro (fail-safe)</t>
  </si>
  <si>
    <t>SR 3.4</t>
  </si>
  <si>
    <t>CAIM è sistema di supporto alla navigazione (gestione pubblicazioni digitali e pianificazione), non sistema di controllo attivo. Architettura ridondante Master + Slave mitiga il rischio di indisponibilità: se una postazione si pianta, l'altra copre. Il manuale Basic Procedures formalizza la procedura di switch Master↔Slave.</t>
  </si>
  <si>
    <t>Navigate Basic Procedures for User_v.2.0.pdf (11/03/2026) (architettura Master/Slave)
GNV_Systems tab CAIM</t>
  </si>
  <si>
    <t>Sistema passivo + ridondanza. Nessun impatto safety-critical diretto in caso di attacco.</t>
  </si>
  <si>
    <t>Formalizzare procedura switch Master/Slave per equipaggio GNV.</t>
  </si>
  <si>
    <t>FR4 — Confidenzialità dei dati</t>
  </si>
  <si>
    <t>Protezione dati</t>
  </si>
  <si>
    <t>SR 4.1</t>
  </si>
  <si>
    <t>Dati cartografici e pubblicazioni nautiche non sono confidenziali. Dati confidenziali potenziali: credenziali (utente 'rt', credenziali NGBox, Mikrotik, TeamViewer), certificati attivazione, configurazione nave. Cifratura at-rest sui PC NaviGate non documentata.</t>
  </si>
  <si>
    <t>Inferenza dall'architettura documentata</t>
  </si>
  <si>
    <t>Cifratura storage non documentata (no BitLocker dichiarato). Le credenziali e i codici di attivazione sono potenzialmente in chiaro sul disco.</t>
  </si>
  <si>
    <t>Applicare su GNV cifratura disco (BitLocker) sulle postazioni NaviGate. Richiedere a CAIM se BitLocker è supportato/testato.</t>
  </si>
  <si>
    <t>Crittografia</t>
  </si>
  <si>
    <t>SR 4.3</t>
  </si>
  <si>
    <t>Requisito esplicito TLS 1.2 minimo per comunicazioni NaviGate↔maritimegate.net. Il manuale include guida dettagliata per abilitare TLS 1.2 anche su Windows 7. Suite di cifratura e versione massima supportata non dettagliate.</t>
  </si>
  <si>
    <t>NaviGate_ADP_eNP_IT_Reference_Guide.pdf sez. 3.4 'TLS 1.2 Configuration Guide'</t>
  </si>
  <si>
    <t>Minimo TLS 1.2 OK rispetto agli standard attuali. TLS 1.3 non dichiarato esplicitamente.</t>
  </si>
  <si>
    <t>Richiedere a CAIM: supporto TLS 1.3, suite di cifratura consigliate.</t>
  </si>
  <si>
    <t>FR6 — Risposta agli eventi</t>
  </si>
  <si>
    <t>Accessibilità log audit</t>
  </si>
  <si>
    <t>SR 6.1</t>
  </si>
  <si>
    <t>Dipendenza diretta da item 13 (log assenti/non documentati).</t>
  </si>
  <si>
    <t>Vedi item 13</t>
  </si>
  <si>
    <t>Accessibilità log a utenti autorizzati non documentata.</t>
  </si>
  <si>
    <t>Vedi item 13.</t>
  </si>
  <si>
    <t>FR7 — Disponibilità delle risorse</t>
  </si>
  <si>
    <t>Protezione DoS</t>
  </si>
  <si>
    <t>SR 7.1</t>
  </si>
  <si>
    <t>Architettura ridondante Master + Slave mitiga DoS (se una postazione si pianta, l'altra copre). Protezioni DoS a livello applicativo non documentate.</t>
  </si>
  <si>
    <t>Navigate Basic Procedures for User_v.2.0.pdf (11/03/2026) (Master/Slave)</t>
  </si>
  <si>
    <t>Ridondanza HW sì, protezioni DoS applicative non documentate. Il MikroTik router è punto singolo di failure per NGBox↔NGLinq.</t>
  </si>
  <si>
    <t>Richiedere a CAIM: comportamento NaviGate sotto DoS, resilienza MikroTik.</t>
  </si>
  <si>
    <t>Gestione risorse</t>
  </si>
  <si>
    <t>SR 7.2</t>
  </si>
  <si>
    <t>Requisiti HW specifici: processor i5 quad-core, 8 GB RAM min, 16 GB RAM per Windows 10+. Gestione risorse interne applicativa non documentata.</t>
  </si>
  <si>
    <t>NaviGate_ADP_eNP_IT_Reference_Guide.pdf sez. 3.2</t>
  </si>
  <si>
    <t>Limiti interni applicativi non documentati.</t>
  </si>
  <si>
    <t>Backup</t>
  </si>
  <si>
    <t>SR 7.3</t>
  </si>
  <si>
    <t>Procedura backup manuale documentata: funzionalità 'Backup' nel menu System di NaviGate. Backup include NaviGate settings (sottoscrizioni, cataloghi, ship model), SENC, AIO, Paper charts, Books, Weather, Navarea, Piracy, NP234, Routes. Destinazione: cartella locale o Pendrive USB. Backup manuale, non schedulato.
INTEGRAZIONE 27/04/2026: procedura backup manuale dettagliata in NAVIGATE_How_Activate_Backup_Station (1).pdf (2 pagine): 1) backup dal PC primario via menu System → Backup → scelta destinazione (cartella locale o pendrive USB), 2) copia del backup file sul PC backup, 3) installazione NaviGate sul PC backup, 4) Tasks → Active product → Activate Backup Station → selezione del backup file. Il PC backup viene attivato con lo stesso contract del primario, senza consumo di nuova licenza.</t>
  </si>
  <si>
    <t>NaviGate_Backup and Restore.pdf (cap. 23)
NaviGate_Activation_Master (1).pdf
NAVIGATE_How_Activate_Backup_Station (1).pdf</t>
  </si>
  <si>
    <t>Backup disponibile ma MANUALE (deve essere eseguito dall'operatore). Nessuna schedulazione automatica documentata. Raccomandazione backup su Pendrive è in tensione con item 10 (rischio USB).</t>
  </si>
  <si>
    <t>1) Definire policy GNV per frequenza e destinazione backup (non usare pendrive, usare cartella di rete dedicata). 2) Richiedere a CAIM se esiste scheduling automatico del backup.</t>
  </si>
  <si>
    <t>Ripristino</t>
  </si>
  <si>
    <t>SR 7.4</t>
  </si>
  <si>
    <t>Procedura 'Restore' documentata nel menu System. Procedura 'Activate Backup Station' disponibile: se il Master si pianta, il backup file può essere usato per attivare lo Slave con lo stesso contract (senza consumare nuova licenza). I passi sono documentati nei manuali forniti.</t>
  </si>
  <si>
    <t>NaviGate_Backup and Restore.pdf (cap. 23) cap. 23.B
NAVIGATE_How_Activate_Backup_Station (1).pdf</t>
  </si>
  <si>
    <t>Procedura di recovery documentata. RTO/RPO non quantificati.</t>
  </si>
  <si>
    <t>Definire RTO/RPO con CAIM e Dastech. Testare la procedura di recovery almeno una volta per nave.</t>
  </si>
  <si>
    <t>Alimentazione emergenza</t>
  </si>
  <si>
    <t>SR 7.5</t>
  </si>
  <si>
    <t>Non documentato nei manuali CAIM. Alimentazione NGBox: DC 9-36V / AC Power Adapter incluso. Collegamento a UPS di bordo da verificare nelle installazioni GNV.</t>
  </si>
  <si>
    <t>NGBOX-NGLINQ Standard Configuration Guide_v.1.0.pdf (24/07/2025) sez. 2 (power)</t>
  </si>
  <si>
    <t>Collegamento UPS per PC CAIM/NGBox/Mikrotik non documentato.</t>
  </si>
  <si>
    <t>Verificare su Cable Diagram / durante visita bordo se le postazioni CAIM sono su UPS.</t>
  </si>
  <si>
    <t>Configurazione rete</t>
  </si>
  <si>
    <t>SR 7.6</t>
  </si>
  <si>
    <t>Configurazione di rete documentata: NGBox 172.16.10.20 (default, ma GNV Altair usa 172.16.128.228/231 — configurazione custom GNV), Mikrotik LAN 172.16.10.1, NGLinq WiFi 172.16.11.30. Firewall ship-side: whitelist specifica documentata (IP UKHO, porte, URL). Mikrotik gestito da CAIM.</t>
  </si>
  <si>
    <t>NGBOX-NGLINQ Standard Configuration Guide_v.1.0.pdf (24/07/2025) sez. 4
ALTAIR.txt (documentazione installazione GNV Altair: ALTD102058/ALTD102061, 172.16.128.228/231, username 'rt')
NaviGate_ADP_eNP_IT_Reference_Guide.pdf</t>
  </si>
  <si>
    <t>Configurazione di rete documentata a livello di prodotto. Per GNV: VLAN di collocazione non chiarite. Il Mikrotik è gestito da CAIM (credenziali default), separazione di responsabilità tra CAIM/Dastech/GNV da formalizzare.</t>
  </si>
  <si>
    <t>1) Chiarire con Dastech: su quale VLAN sono i PC NaviGate e il NGBox. 2) Definire chi gestisce il Mikrotik (CAIM? Dastech? GNV?). 3) Cambiare credenziali default MikroTik e documentare nuovo owner.</t>
  </si>
  <si>
    <t>Hardening</t>
  </si>
  <si>
    <t>SR 7.7</t>
  </si>
  <si>
    <t>Alcune indicazioni di hardening presenti nei manuali CAIM: PC dedicati esclusivamente a navigazione (no office, no email, no web browsing generico), no Thin Client, no Virtual Machine, no Server, no PC condivisi, esclusione cloud sync (OneDrive/DropBox/iCloud) dalle cartelle dati. Ma manca guida hardening completa per Mikrotik e NGBox.</t>
  </si>
  <si>
    <t>NaviGate_ADP_eNP_IT_Reference_Guide.pdf sez. 2.1, 2.2
NGBOX-NGLINQ Standard Configuration Guide_v.1.0.pdf (24/07/2025)</t>
  </si>
  <si>
    <t>Best practice dichiarate per i PC NaviGate Master/Slave. Mancanti: hardening Mikrotik (cambio credenziali, disabilitazione servizi non necessari), hardening NGBox (oltre alle raccomandazioni PC).</t>
  </si>
  <si>
    <t>Richiedere a CAIM hardening guide formale completa (NaviGate + NGBox + Mikrotik). Applicare su GNV.</t>
  </si>
  <si>
    <t>Sez. 4.2 — Additional security capabilities (reti untrusted)</t>
  </si>
  <si>
    <t>FR1 — Identificazione e autenticazione (untrusted)</t>
  </si>
  <si>
    <t>MFA per utenti umani</t>
  </si>
  <si>
    <t>SR 1.1 RE1</t>
  </si>
  <si>
    <t>MFA non documentata per NaviGate, NGBox, Mikrotik, TeamViewer. L'accesso a TeamViewer (remote support CAIM) è il canale di accesso untrusted più critico e non risulta protetto da MFA documentata.</t>
  </si>
  <si>
    <t>NGBOX-NGLINQ Standard Configuration Guide_v.1.0.pdf (24/07/2025) (TeamViewer)
NaviGate_ADP_eNP_IT_Reference_Guide.pdf</t>
  </si>
  <si>
    <t>Assenza MFA su canali di accesso remoto (TeamViewer) e local admin NGBox/Mikrotik. Rilievo importante.</t>
  </si>
  <si>
    <t>1) Richiedere a CAIM: disponibilità MFA su TeamViewer (Business account con 2FA) e account CAIM Support. 2) Architetturalmente: forzare l'accesso remoto tramite jump server/PAM GNV con MFA (stesso tema Sertica/Danelec/NAPA).</t>
  </si>
  <si>
    <t>Identificazione software e dispositivi</t>
  </si>
  <si>
    <t>SR 1.2</t>
  </si>
  <si>
    <t>Il NGBox e le installazioni NaviGate usano un contract number + activation code per identificazione univoca verso il server CAIM. NGLinq è pre-attivato con identità hardware (presumibilmente device ID USB). Certificati X.509 lato client non documentati.</t>
  </si>
  <si>
    <t>NGBOX-NGLINQ Standard Configuration Guide_v.1.0.pdf (24/07/2025) sez. 5 'NGBox Activation'
NaviGate_Activation_Master (1).pdf</t>
  </si>
  <si>
    <t>Identificazione via contract/activation code è un meccanismo di licensing, non un'autenticazione crittografica forte. Il bypass del controllo non è documentato.</t>
  </si>
  <si>
    <t>Richiedere a CAIM: meccanismo di identificazione crittografica del client verso server (certificato, device token).</t>
  </si>
  <si>
    <t>Blocco tentativi login falliti</t>
  </si>
  <si>
    <t>SR 1.11</t>
  </si>
  <si>
    <t>Non documentato per l'applicazione NaviGate, il NGBox o il Mikrotik. Windows può essere configurato con lockout via GPO, ma non è chiaro lo stato di GNV.</t>
  </si>
  <si>
    <t>Lockout non documentato.</t>
  </si>
  <si>
    <t>Richiedere a CAIM policy di lockout. Verificare con GNV/Dastech GPO Windows applicate ai PC CAIM.</t>
  </si>
  <si>
    <t>Banner avviso uso sistema</t>
  </si>
  <si>
    <t>SR 1.12</t>
  </si>
  <si>
    <t>Banner 'Authorized Use Only' non documentato all'accesso.</t>
  </si>
  <si>
    <t>Richiedere a CAIM configurazione banner. In alternativa, applicare banner Windows via GPO.</t>
  </si>
  <si>
    <t>Accesso da reti untrusted</t>
  </si>
  <si>
    <t>SR 1.13</t>
  </si>
  <si>
    <t>CAIM ha canale dichiarato di accesso remoto: **TeamViewer pre-installato sul NGBox** per remote assistance, con credenziali gestite da CAIM Support. Il manuale dice: 'If necessary, ask the credentials to CAIM support'. Questo è un canale di accesso remoto attivo from/via untrusted network (Internet).</t>
  </si>
  <si>
    <t>NGBOX-NGLINQ Standard Configuration Guide_v.1.0.pdf (24/07/2025) sez. 3 (TeamViewer)</t>
  </si>
  <si>
    <t>TeamViewer pre-installato = canale di accesso remoto always-available da parte del fornitore, non sotto il controllo diretto di GNV. Rilievo grave. Non è documentato: chi in CAIM ha accesso, con quale supervisione, se è logged/auditato, se è soggetto a MFA.</t>
  </si>
  <si>
    <t>1) Rilievo formale a GNV: presenza di TeamViewer pre-installato. Opzioni di mitigazione: (a) disinstallare TeamViewer e forzare accesso CAIM via jump server GNV su richiesta, (b) mantenere TeamViewer ma con account GNV-managed (non CAIM) + MFA + logging. 2) Richiedere a CAIM documento formale di accesso remoto (chi accede, quando, con quale autorizzazione).</t>
  </si>
  <si>
    <t>Approvazione esplicita accessi</t>
  </si>
  <si>
    <t>SR 1.13 RE1</t>
  </si>
  <si>
    <t>TeamViewer su NGBox è accessibile da CAIM Support in qualsiasi momento (dopo che l'equipaggio accetta la richiesta di connessione, tipicamente). Approvazione esplicita a bordo esiste solo a livello di prompt TeamViewer standard, ma non c'è processo GNV documentato.</t>
  </si>
  <si>
    <t>Approvazione a bordo esiste solo come prompt di accept TeamViewer — non processo formale. L'equipaggio potrebbe accettare senza autorizzazione da terra.</t>
  </si>
  <si>
    <t>Definire processo GNV: richieste di accesso remoto CAIM devono essere notificate e approvate da riferimento tecnico GNV prima che l'equipaggio accetti.</t>
  </si>
  <si>
    <t>FR2 — Controllo degli accessi (untrusted)</t>
  </si>
  <si>
    <t>Terminazione sessione remota</t>
  </si>
  <si>
    <t>SR 2.7</t>
  </si>
  <si>
    <t>TeamViewer ha timeout di default configurabile ma non documentato su CAIM. NaviGate non è esposto direttamente via rete untrusted (nGateway fa outbound).</t>
  </si>
  <si>
    <t>Timeout sessione TeamViewer non documentato.</t>
  </si>
  <si>
    <t>Richiedere a CAIM configurazione timeout TeamViewer. Se disinstallato (vedi item 35), il controllo decade.</t>
  </si>
  <si>
    <t>FR3 — Integrità del sistema (untrusted)</t>
  </si>
  <si>
    <t>Integrità crittografica comunicazioni</t>
  </si>
  <si>
    <t>SR 3.1 RE1</t>
  </si>
  <si>
    <t>HTTPS (TLS 1.2+) utilizzato come default per comunicazione NaviGate↔maritimegate.net. HTTPS (TLS) anche per UKHO (ADP, e-Navigator). HTTP (porta 80) come fallback permesso ma non consigliato. FTP (porta 21 passive) per e-NP in chiaro — non integrità crittografica. TeamViewer ha TLS nativo.</t>
  </si>
  <si>
    <t>NGBOX-NGLINQ Standard Configuration Guide_v.1.0.pdf (24/07/2025) sez. 7.3
NaviGate_ADP_eNP_IT_Reference_Guide.pdf</t>
  </si>
  <si>
    <t>TLS ok per HTTPS. FTP per e-NP resta in chiaro. HTTP fallback è rischio documentato.</t>
  </si>
  <si>
    <t>1) Eliminare HTTP fallback su ciascuna nave GNV. 2) Richiedere a CAIM/UKHO migrazione a SFTP/FTPS per e-NP. 3) Integrità via firma digitale dei file scaricati (richiedere se esiste).</t>
  </si>
  <si>
    <t>Validazione input</t>
  </si>
  <si>
    <t>SR 3.5</t>
  </si>
  <si>
    <t>Validazione input non documentata.</t>
  </si>
  <si>
    <t>Integrità sessione</t>
  </si>
  <si>
    <t>SR 3.8</t>
  </si>
  <si>
    <t>Non documentato per le comunicazioni di rete di NaviGate e TeamViewer.</t>
  </si>
  <si>
    <t>Gestione integrità sessione non documentata.</t>
  </si>
  <si>
    <t>Invalidazione ID sessione al logout</t>
  </si>
  <si>
    <t>SR 3.8 RE1</t>
  </si>
  <si>
    <t>Invalidazione ID sessione non documentata.</t>
  </si>
  <si>
    <t>Sez. 3 — Documenti aggiuntivi</t>
  </si>
  <si>
    <t>3.1.1</t>
  </si>
  <si>
    <t>CBS Asset inventory</t>
  </si>
  <si>
    <t>SR 7.8</t>
  </si>
  <si>
    <t>Asset inventory CAIM per postazione standard documentata:
— 2 PC Windows dedicati (NaviGate Master + NaviGate Slave)
— 1 NGBox (PC Windows con Clonezilla pre-config)
— 1 NGLinq (USB WiFi stick collegato all'ECDIS)
— 1 MikroTik WiFi Router
— Software: NaviGate.exe + nGateway.exe + nGatewayManager.exe
— TeamViewer pre-installato
— .NET Framework 4.8 (runtime incluso)
— OS: Windows 7/10/11 (Microsoft-supported mandatory)
— Hardware min: Intel quad-core i5, 8-16 GB RAM
Installazione GNV Altair specifica:
— Primario ALTD102058, IP 172.16.128.228, user 'rt'
— Backup ALTD102061, IP 172.16.128.231, user 'rt'
SBOM formale NON FORNITA.
EVIDENZA FOTOGRAFICA postazione GNV Altair (foto del 05/03/2026):
• PC primario sul ponte di comando: Hostname ALTD102058, IP 172.16.128.228, username 'rt' (File multimediali.jpeg, ore 11:37).
• PC secondario di backup in segreteria: Hostname ALTD102061, IP 172.16.128.231, username 'rt' (File multimediali (1).jpeg, ore 11:38).
Conferma topologia tipica GNV: 1 PC primario + 1 PC backup per nave, entrambi su rete 172.16.128.0/24, stesso username operativo 'rt'. Sistema operativo Windows.</t>
  </si>
  <si>
    <t>NGBOX-NGLINQ Standard Configuration Guide_v.1.0.pdf (24/07/2025)
NaviGate_ADP_eNP_IT_Reference_Guide.pdf
ALTAIR.txt (documentazione installazione GNV Altair: ALTD102058/ALTD102061, 172.16.128.228/231, username 'rt')
File multimediali.jpeg + File multimediali (1).jpeg (foto installazione GNV Altair, 05/03/2026)</t>
  </si>
  <si>
    <t>Asset inventory ora molto più completo grazie ai manuali. Mancano: modelli hardware specifici PC, versione firmware MikroTik, versione software NaviGate installata su GNV, SBOM formale.</t>
  </si>
  <si>
    <t>Richiedere a CAIM: asset inventory per nave GNV (con hostname, IP, versione software, versione firmware), SBOM formale (CycloneDX o SPDX).</t>
  </si>
  <si>
    <t>3.1.9</t>
  </si>
  <si>
    <t>Management of change plan</t>
  </si>
  <si>
    <t>E22</t>
  </si>
  <si>
    <t>Nessuna procedura di change management documentata nei materiali CAIM.</t>
  </si>
  <si>
    <t>Manca procedura change management.</t>
  </si>
  <si>
    <t>Richiedere a CAIM procedura di change management.</t>
  </si>
  <si>
    <t>3.1.10</t>
  </si>
  <si>
    <t>Test reports</t>
  </si>
  <si>
    <t>—</t>
  </si>
  <si>
    <t>Nessun test report cybersecurity nei materiali ricevuti. Nessuna certificazione cyber dichiarata.</t>
  </si>
  <si>
    <t>Assenza test report formali.</t>
  </si>
  <si>
    <t>Richiedere a CAIM evidenze test di sicurezza. Pianificare FAT/SAT cyber per installazioni GNV.</t>
  </si>
  <si>
    <t>Sez. 5 — Secure Development Lifecycle (IEC 62443-4-1)</t>
  </si>
  <si>
    <t>5.1</t>
  </si>
  <si>
    <t>Controllo chiavi private</t>
  </si>
  <si>
    <t>SM-8</t>
  </si>
  <si>
    <t>Gestione chiavi private (code signing, certificati cloud) non documentata.</t>
  </si>
  <si>
    <t>Richiedere a CAIM dichiarazione su protezione chiavi private.</t>
  </si>
  <si>
    <t>5.2</t>
  </si>
  <si>
    <t>Documentazione aggiornamenti sicurezza</t>
  </si>
  <si>
    <t>SUM-2</t>
  </si>
  <si>
    <t>Aggiornamenti software NaviGate: installazione tramite NaviGate_Setup.exe eseguito come Administrator. Processo formale di comunicazione patch di sicurezza non dichiarato.</t>
  </si>
  <si>
    <t>NGBOX-NGLINQ Standard Configuration Guide_v.1.0.pdf (24/07/2025) sez. 7.3.1</t>
  </si>
  <si>
    <t>Distribuzione patch software CAIM formale non documentata.</t>
  </si>
  <si>
    <t>Richiedere a CAIM processo di comunicazione patch di sicurezza (release note, bollettini).</t>
  </si>
  <si>
    <t>5.3</t>
  </si>
  <si>
    <t>Aggiornamenti componenti dipendenti</t>
  </si>
  <si>
    <t>SUM-3</t>
  </si>
  <si>
    <t>Dipendenze note: .NET Framework 4.8 (mandatory), Windows SO (manutenuto da Microsoft), TLS 1.2 (Windows Schannel), TeamViewer. Le altre dipendenze applicative non sono documentate (no SBOM).</t>
  </si>
  <si>
    <t>Dipendenze core dichiarate ma SBOM completa mancante.</t>
  </si>
  <si>
    <t>Richiedere a CAIM SBOM formale + policy aggiornamento componenti terzi.</t>
  </si>
  <si>
    <t>5.4</t>
  </si>
  <si>
    <t>Distribuzione aggiornamenti sicurezza</t>
  </si>
  <si>
    <t>SUM-4</t>
  </si>
  <si>
    <t>Aggiornamenti pubblicazioni nautiche tramite e-NP via FTP (porta 21) dal servizio UKHO. Aggiornamenti software NaviGate: setup .exe eseguito come Admin. Firma digitale degli installer non dichiarata.</t>
  </si>
  <si>
    <t>NGBOX-NGLINQ Standard Configuration Guide_v.1.0.pdf (24/07/2025) sez. 7.3.1
NaviGate_ADP_eNP_IT_Reference_Guide.pdf</t>
  </si>
  <si>
    <t>Aggiornamento pubblicazioni via FTP = canale non cifrato. Firma digitale eseguibili NaviGate non confermata.</t>
  </si>
  <si>
    <t>1) Richiedere a CAIM meccanismo di verifica integrità aggiornamenti pubblicazioni (firma, hash). 2) Verificare se gli installer CAIM sono firmati digitalmente.</t>
  </si>
  <si>
    <t>5.5</t>
  </si>
  <si>
    <t>Defence in depth del prodotto</t>
  </si>
  <si>
    <t>SG-1</t>
  </si>
  <si>
    <t>Elementi di defence in depth nell'architettura: 2 PC (Master/Slave) ridondanti, MikroTik router dedicato, NGBox come gateway, firewall whitelist esterna, TLS 1.2 mandatory. Manca documento formale di strategia.</t>
  </si>
  <si>
    <t>NGBOX-NGLINQ Standard Configuration Guide_v.1.0.pdf (24/07/2025)
NaviGate_ADP_eNP_IT_Reference_Guide.pdf</t>
  </si>
  <si>
    <t>Layered architecture presente ma documento formale di strategia defence in depth assente.</t>
  </si>
  <si>
    <t>Richiedere a CAIM documento strategia defence in depth.</t>
  </si>
  <si>
    <t>5.6</t>
  </si>
  <si>
    <t>Defence in depth ambiente esterno</t>
  </si>
  <si>
    <t>SG-2</t>
  </si>
  <si>
    <t>Il manuale IT-ICT Reference Guide elenca requisiti che il cliente deve garantire: PC dedicati, OS Microsoft-supported, Admin rights, esclusione cloud sync, firewall whitelist. Questo è sostanzialmente un elenco di difese esterne attese.</t>
  </si>
  <si>
    <t>NaviGate_ADP_eNP_IT_Reference_Guide.pdf sez. 2-7</t>
  </si>
  <si>
    <t>Documento IT-ICT Reference Guide copre adeguatamente il tema. Integrazione con ambiente GNV (VLAN, firewall Palo Alto) da dettagliare.</t>
  </si>
  <si>
    <t>Mappare i requisiti CAIM contro l'ambiente GNV reale per confermare che siano tutti soddisfatti.</t>
  </si>
  <si>
    <t>5.7</t>
  </si>
  <si>
    <t>Hardening guidelines</t>
  </si>
  <si>
    <t>SG-3</t>
  </si>
  <si>
    <t>Il manuale NGBOX Config Guide + IT-ICT Reference Guide costituiscono la documentazione di hardening di base, ma sono orientate a installazione/configurazione più che a sicurezza. Mancano indicazioni esplicite di hardening per Mikrotik e Windows (non ci sono baseline di configurazione o checklist sicurezza).</t>
  </si>
  <si>
    <t>Guide operative presenti, guida security hardening formale completa no.</t>
  </si>
  <si>
    <t>Richiedere a CAIM hardening guide security-oriented (non solo operativa).</t>
  </si>
  <si>
    <t>Riepilogo — Analisi E27 CAIM (NaviGate + NGBox + NGLinq + ADP/e-NP)</t>
  </si>
  <si>
    <t>CONTEGGIO AUTOMATICO STATO (aggiornamento dinamico dal foglio Analisi)</t>
  </si>
  <si>
    <t>Conteggio</t>
  </si>
  <si>
    <t>Totale</t>
  </si>
  <si>
    <t>Percentuale</t>
  </si>
  <si>
    <t>N/A</t>
  </si>
  <si>
    <t>TOTALE</t>
  </si>
  <si>
    <t>DETTAGLIO PER ITEM (stato e priorità aggiornati automaticamente dal foglio Analisi)</t>
  </si>
  <si>
    <t>Item</t>
  </si>
  <si>
    <t>Controllo</t>
  </si>
  <si>
    <t>Sezione 4.1 — System Requirements (30 controlli base)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</si>
  <si>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</si>
  <si>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</si>
  <si>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</si>
  <si>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</si>
  <si>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</si>
  <si>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</si>
  <si>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</si>
  <si>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</si>
  <si>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</si>
  <si>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</si>
  <si>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</si>
  <si>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</si>
  <si>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</si>
  <si>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</si>
  <si>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</si>
  <si>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</si>
  <si>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</si>
  <si>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</si>
  <si>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</si>
  <si>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</si>
  <si>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</si>
  <si>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</si>
  <si>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</si>
  <si>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</si>
  <si>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</si>
  <si>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</si>
  <si>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</si>
  <si>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</si>
  <si>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</si>
  <si>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</si>
  <si>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Sezione 4.2 — Additional Security Capabilities (11 controlli untrusted)</t>
  </si>
  <si>
    <t>31</t>
  </si>
  <si>
    <t>32</t>
  </si>
  <si>
    <t>33</t>
  </si>
  <si>
    <t>34</t>
  </si>
  <si>
    <t>35</t>
  </si>
  <si>
    <t>36</t>
  </si>
  <si>
    <t>37</t>
  </si>
  <si>
    <t>38</t>
  </si>
  <si>
    <t>39</t>
  </si>
  <si>
    <t>40</t>
  </si>
  <si>
    <t>41</t>
  </si>
  <si>
    <t>Sezione 3 — Documenti aggiuntivi</t>
  </si>
  <si>
    <t>Sezione 5 — Secure Development Lifecycle (IEC 62443-4-1)</t>
  </si>
  <si>
    <t>Legenda — Criteri di classificazione stati e priorità (IACS UR E27)</t>
  </si>
  <si>
    <t>Criteri di classificazione STATO</t>
  </si>
  <si>
    <t>Quando si assegna</t>
  </si>
  <si>
    <t>Requisiti minimi</t>
  </si>
  <si>
    <t>Il controllo è pienamente implementato dal fornitore e verificabile dalle fonti documentali ricevute. Nessun gap significativo rispetto al requisito E27. Può includere piccole verifiche residue (es. verifica visiva, test operativo) ma l'evidenza documentale è sufficiente a dichiarare la conformità.</t>
  </si>
  <si>
    <t>Almeno UNA delle seguenti condizioni:
(a) Documentazione di prodotto del fornitore che descrive esplicitamente l'implementazione.
(b) Certificazione di terze parti applicabile al controllo (es. ISO 27001 per controlli di information security management).
(c) Standard tecnico implicito nell'architettura (es. TLS implicitamente garantisce integrità crittografica).
(d) Evidenza fisica/operativa raccolta durante visita bordo o call tecnica.</t>
  </si>
  <si>
    <t>Il controllo è parzialmente implementato o documentato. Esistono evidenze concrete dell'implementazione ma con gap noti: documentazione incompleta, configurazione dichiarata ma non verificata, alcuni aspetti coperti e altri no, oppure il controllo si basa su un'assunzione plausibile ma non confermata. È la classificazione più comune per sistemi con documentazione parziale.</t>
  </si>
  <si>
    <t>TIPICAMENTE UNA delle seguenti:
(a) Documentazione di prodotto copre l'aspetto MA con gap (es. 'usa TLS' senza specificare versione/suite).
(b) Esiste implementazione architetturale MA manca documento formale (es. defence in depth presente ma non formalizzato).
(c) Il controllo è coperto per un sottoinsieme delle navi/configurazioni MA non per tutte.
(d) Standard di prassi implicito senza conferma esplicita del fornitore.
(e) Mitigazione esiste lato cliente ma non integrata nel prodotto del fornitore.</t>
  </si>
  <si>
    <t>Il controllo NON è implementato o è implementato in modo palesemente insufficiente rispetto al requisito E27. Esiste evidenza documentale o tecnica concreta del gap. Non è una mancanza di informazioni (quella va in DA VERIFICARE) ma una evidenza concreta di non conformità.</t>
  </si>
  <si>
    <t>TIPICAMENTE UNA delle seguenti:
(a) Il fornitore dichiara esplicitamente una pratica non conforme (es. password default pubblicate nel manuale, USB strutturalmente necessari, full admin rights mandatory).
(b) Architettura con elementi in chiaro non cifrati che il requisito E27 considera necessari cifrare.
(c) Assenza di un meccanismo di sicurezza che il requisito richiede esplicitamente (es. MFA sui canali untrusted).
(d) Canale di accesso remoto attivo senza controlli di approvazione/logging documentati (es. TeamViewer pre-installato).</t>
  </si>
  <si>
    <t>Informazione insufficiente per classificare. Il controllo potrebbe essere conforme, parziale o non conforme, ma i documenti ricevuti non permettono di decidere. È diverso da 'non conforme': qui manca l'informazione, lì c'è evidenza negativa.</t>
  </si>
  <si>
    <t>TIPICAMENTE UNA delle seguenti:
(a) Aspetto non trattato in nessun documento ricevuto (silenzio documentale).
(b) Controllo che richiede dialogo diretto con il fornitore (IAM dettagliato, policy interne).
(c) Controllo operativo che richiede verifica a bordo (presenza antivirus, UPS, wireless hardware).
(d) Controllo per il quale il fornitore rimanda al cliente senza specifica (es. 'da configurare a cura del cliente' senza dettagli).
Obiettivo: risolvere questi item con mail/call mirate al fornitore o verifica a bordo.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</si>
</sst>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rgb="FFFFFFFF"/>
      <name val="Arial"/>
      <family val="2"/>
    </font>
    <font>
      <b/>
      <sz val="16"/>
      <color rgb="FFFFFFFF"/>
      <name val="Arial"/>
      <family val="2"/>
    </font>
    <font>
      <b/>
      <sz val="10"/>
      <name val="Arial"/>
      <family val="2"/>
    </font>
    <font>
      <sz val="10"/>
      <name val="Arial"/>
      <family val="2"/>
    </font>
    <font>
      <b/>
      <sz val="10"/>
      <color rgb="FFFFFFFF"/>
      <name val="Arial"/>
      <family val="2"/>
    </font>
    <font>
      <sz val="9"/>
      <name val="Arial"/>
      <family val="2"/>
    </font>
    <font>
      <b/>
      <sz val="9"/>
      <name val="Arial"/>
      <family val="2"/>
    </font>
    <font>
      <i/>
      <sz val="7"/>
      <color rgb="FF666666"/>
      <name val="Arial"/>
      <family val="2"/>
    </font>
    <font>
      <b/>
      <sz val="12"/>
      <color rgb="FFFFFFFF"/>
      <name val="Arial"/>
      <family val="2"/>
    </font>
    <font>
      <b/>
      <sz val="8"/>
      <color rgb="FF1F3864"/>
      <name val="Arial"/>
      <family val="2"/>
    </font>
    <font>
      <b/>
      <sz val="8"/>
      <color rgb="FF000000"/>
      <name val="Arial"/>
      <family val="2"/>
    </font>
    <font>
      <b/>
      <sz val="10"/>
      <color rgb="FF000000"/>
      <name val="Arial"/>
      <family val="2"/>
    </font>
    <font>
      <b/>
      <sz val="9"/>
      <color rgb="FFFFFFFF"/>
      <name val="Arial"/>
      <family val="2"/>
    </font>
    <font>
      <sz val="8"/>
      <color rgb="FF333333"/>
      <name val="Arial"/>
      <family val="2"/>
    </font>
    <font>
      <i/>
      <sz val="7"/>
      <color rgb="FF555555"/>
      <name val="Arial"/>
      <family val="2"/>
    </font>
    <font>
      <b/>
      <sz val="9"/>
      <color rgb="FF000000"/>
      <name val="Arial"/>
      <family val="2"/>
    </font>
    <font>
      <sz val="8"/>
      <color theme="1"/>
      <name val="Calibri"/>
      <family val="2"/>
      <scheme val="minor"/>
    </font>
    <font>
      <b/>
      <sz val="14"/>
      <color rgb="FFFFFFFF"/>
      <name val="Arial"/>
      <family val="2"/>
    </font>
    <font>
      <b/>
      <sz val="11"/>
      <color rgb="FF000000"/>
      <name val="Arial"/>
      <family val="2"/>
    </font>
  </fonts>
  <fills count="12">
    <fill>
      <patternFill patternType="none"/>
    </fill>
    <fill>
      <patternFill patternType="gray125"/>
    </fill>
    <fill>
      <patternFill patternType="solid">
        <fgColor rgb="FF1F3864"/>
      </patternFill>
    </fill>
    <fill>
      <patternFill patternType="solid">
        <fgColor rgb="FFD9D9D9"/>
      </patternFill>
    </fill>
    <fill>
      <patternFill patternType="solid">
        <fgColor rgb="FF2E75B6"/>
      </patternFill>
    </fill>
    <fill>
      <patternFill patternType="solid">
        <fgColor rgb="FFFFF2CC"/>
      </patternFill>
    </fill>
    <fill>
      <patternFill patternType="solid">
        <fgColor rgb="FFC6EFCE"/>
      </patternFill>
    </fill>
    <fill>
      <patternFill patternType="solid">
        <fgColor rgb="FFFFC7CE"/>
      </patternFill>
    </fill>
    <fill>
      <patternFill patternType="solid">
        <fgColor rgb="FFD9E2F3"/>
      </patternFill>
    </fill>
    <fill>
      <patternFill patternType="solid">
        <fgColor rgb="FF5B9BD5"/>
      </patternFill>
    </fill>
    <fill>
      <patternFill patternType="solid">
        <fgColor rgb="FFF2F2F2"/>
      </patternFill>
    </fill>
    <fill>
      <patternFill patternType="solid">
        <fgColor rgb="FFFFE699"/>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46">
    <xf numFmtId="0" fontId="0" fillId="0" borderId="0" xfId="0"/>
    <xf numFmtId="0" fontId="3" fillId="3" borderId="0" xfId="0" applyFont="1" applyFill="1" applyAlignment="1">
      <alignment horizontal="center" vertical="center"/>
    </xf>
    <xf numFmtId="0" fontId="4" fillId="0" borderId="0" xfId="0" applyFont="1" applyAlignment="1">
      <alignment horizontal="center"/>
    </xf>
    <xf numFmtId="0" fontId="3" fillId="6" borderId="0" xfId="0" applyFont="1" applyFill="1"/>
    <xf numFmtId="164" fontId="4" fillId="0" borderId="0" xfId="0" applyNumberFormat="1" applyFont="1" applyAlignment="1">
      <alignment horizontal="center"/>
    </xf>
    <xf numFmtId="0" fontId="3" fillId="5" borderId="0" xfId="0" applyFont="1" applyFill="1"/>
    <xf numFmtId="0" fontId="3" fillId="7" borderId="0" xfId="0" applyFont="1" applyFill="1"/>
    <xf numFmtId="0" fontId="3" fillId="8" borderId="0" xfId="0" applyFont="1" applyFill="1"/>
    <xf numFmtId="0" fontId="3" fillId="3" borderId="0" xfId="0" applyFont="1" applyFill="1"/>
    <xf numFmtId="0" fontId="3" fillId="3" borderId="0" xfId="0" applyFont="1" applyFill="1" applyAlignment="1">
      <alignment horizontal="center"/>
    </xf>
    <xf numFmtId="0" fontId="6" fillId="0" borderId="0" xfId="0" applyFont="1" applyAlignment="1">
      <alignment horizontal="center" vertical="center"/>
    </xf>
    <xf numFmtId="0" fontId="6" fillId="0" borderId="0" xfId="0" applyFont="1" applyAlignment="1">
      <alignment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10" fillId="3"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4" fillId="0" borderId="2" xfId="0" applyFont="1" applyBorder="1" applyAlignment="1">
      <alignment horizontal="left" vertical="top" wrapText="1"/>
    </xf>
    <xf numFmtId="0" fontId="15" fillId="0" borderId="2" xfId="0" applyFont="1" applyBorder="1" applyAlignment="1">
      <alignment horizontal="left" vertical="top" wrapText="1"/>
    </xf>
    <xf numFmtId="0" fontId="11" fillId="5" borderId="1" xfId="0" applyFont="1" applyFill="1" applyBorder="1" applyAlignment="1">
      <alignment horizontal="center" vertical="top" wrapText="1"/>
    </xf>
    <xf numFmtId="0" fontId="16" fillId="5" borderId="1" xfId="0" applyFont="1" applyFill="1" applyBorder="1" applyAlignment="1">
      <alignment horizontal="center" vertical="top" wrapText="1"/>
    </xf>
    <xf numFmtId="0" fontId="14" fillId="10" borderId="2" xfId="0" applyFont="1" applyFill="1" applyBorder="1" applyAlignment="1">
      <alignment horizontal="left" vertical="top" wrapText="1"/>
    </xf>
    <xf numFmtId="0" fontId="15" fillId="10" borderId="2" xfId="0" applyFont="1" applyFill="1" applyBorder="1" applyAlignment="1">
      <alignment horizontal="left" vertical="top" wrapText="1"/>
    </xf>
    <xf numFmtId="0" fontId="11" fillId="11" borderId="1" xfId="0" applyFont="1" applyFill="1" applyBorder="1" applyAlignment="1">
      <alignment horizontal="center" vertical="top" wrapText="1"/>
    </xf>
    <xf numFmtId="0" fontId="16" fillId="6" borderId="1" xfId="0" applyFont="1" applyFill="1" applyBorder="1" applyAlignment="1">
      <alignment horizontal="center" vertical="top" wrapText="1"/>
    </xf>
    <xf numFmtId="0" fontId="16" fillId="7" borderId="1" xfId="0" applyFont="1" applyFill="1" applyBorder="1" applyAlignment="1">
      <alignment horizontal="center" vertical="top" wrapText="1"/>
    </xf>
    <xf numFmtId="0" fontId="11" fillId="6" borderId="1" xfId="0" applyFont="1" applyFill="1" applyBorder="1" applyAlignment="1">
      <alignment horizontal="center" vertical="top" wrapText="1"/>
    </xf>
    <xf numFmtId="0" fontId="11" fillId="7" borderId="1" xfId="0" applyFont="1" applyFill="1" applyBorder="1" applyAlignment="1">
      <alignment horizontal="center" vertical="top" wrapText="1"/>
    </xf>
    <xf numFmtId="0" fontId="17" fillId="0" borderId="0" xfId="0" applyFont="1"/>
    <xf numFmtId="0" fontId="19" fillId="6" borderId="1" xfId="0" applyFont="1" applyFill="1" applyBorder="1" applyAlignment="1">
      <alignment horizontal="center" vertical="center"/>
    </xf>
    <xf numFmtId="0" fontId="6" fillId="0" borderId="1" xfId="0" applyFont="1" applyBorder="1" applyAlignment="1">
      <alignment horizontal="left" vertical="top" wrapText="1"/>
    </xf>
    <xf numFmtId="0" fontId="19" fillId="5" borderId="1" xfId="0" applyFont="1" applyFill="1" applyBorder="1" applyAlignment="1">
      <alignment horizontal="center" vertical="center"/>
    </xf>
    <xf numFmtId="0" fontId="19" fillId="7" borderId="1" xfId="0" applyFont="1" applyFill="1" applyBorder="1" applyAlignment="1">
      <alignment horizontal="center" vertical="center"/>
    </xf>
    <xf numFmtId="0" fontId="19" fillId="11" borderId="1" xfId="0" applyFont="1" applyFill="1" applyBorder="1" applyAlignment="1">
      <alignment horizontal="center" vertical="center" wrapText="1"/>
    </xf>
    <xf numFmtId="0" fontId="13" fillId="4" borderId="2" xfId="0" applyFont="1" applyFill="1" applyBorder="1" applyAlignment="1">
      <alignment vertical="center"/>
    </xf>
    <xf numFmtId="0" fontId="0" fillId="0" borderId="0" xfId="0" applyAlignment="1">
      <alignment vertical="center"/>
    </xf>
    <xf numFmtId="0" fontId="13" fillId="4" borderId="0" xfId="0" applyFont="1" applyFill="1" applyAlignment="1">
      <alignment vertical="center"/>
    </xf>
    <xf numFmtId="0" fontId="8" fillId="0" borderId="0" xfId="0" applyFont="1" applyAlignment="1">
      <alignment horizontal="center" vertical="center" wrapText="1"/>
    </xf>
    <xf numFmtId="0" fontId="0" fillId="0" borderId="0" xfId="0" applyAlignment="1">
      <alignment horizontal="center" vertical="center"/>
    </xf>
    <xf numFmtId="0" fontId="9" fillId="2" borderId="0" xfId="0" applyFont="1" applyFill="1" applyAlignment="1">
      <alignment horizontal="center" vertical="center"/>
    </xf>
    <xf numFmtId="0" fontId="2" fillId="4" borderId="0" xfId="0" applyFont="1" applyFill="1" applyAlignment="1">
      <alignment horizontal="center" vertical="center"/>
    </xf>
    <xf numFmtId="0" fontId="0" fillId="0" borderId="0" xfId="0"/>
    <xf numFmtId="0" fontId="5" fillId="9" borderId="0" xfId="0" applyFont="1" applyFill="1" applyAlignment="1">
      <alignment horizontal="left" vertical="center"/>
    </xf>
    <xf numFmtId="0" fontId="1" fillId="4" borderId="0" xfId="0" applyFont="1" applyFill="1" applyAlignment="1">
      <alignment horizontal="center" vertical="center"/>
    </xf>
    <xf numFmtId="0" fontId="18" fillId="2" borderId="0" xfId="0" applyFont="1" applyFill="1" applyAlignment="1">
      <alignment horizontal="center" vertical="center"/>
    </xf>
  </cellXfs>
  <cellStyles count="1">
    <cellStyle name="Normale" xfId="0" builtinId="0"/>
  </cellStyles>
  <dxfs count="5">
    <dxf>
      <fill>
        <patternFill patternType="solid">
          <fgColor rgb="FFD9E2F3"/>
          <bgColor rgb="FFD9E2F3"/>
        </patternFill>
      </fill>
    </dxf>
    <dxf>
      <fill>
        <patternFill patternType="solid">
          <fgColor rgb="FFFFF2CC"/>
          <bgColor rgb="FFFFF2CC"/>
        </patternFill>
      </fill>
    </dxf>
    <dxf>
      <fill>
        <patternFill patternType="solid">
          <fgColor rgb="FFFFC7CE"/>
          <bgColor rgb="FFFFC7CE"/>
        </patternFill>
      </fill>
    </dxf>
    <dxf>
      <fill>
        <patternFill patternType="solid">
          <fgColor rgb="FFFFF2CC"/>
          <bgColor rgb="FFFFF2CC"/>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tabSelected="1" zoomScale="120" zoomScaleNormal="120" workbookViewId="0">
      <pane ySplit="3" topLeftCell="A47" activePane="bottomLeft" state="frozen"/>
      <selection pane="bottomLeft" activeCell="H46" sqref="H46"/>
    </sheetView>
  </sheetViews>
  <sheetFormatPr defaultRowHeight="14.4" x14ac:dyDescent="0.3"/>
  <cols>
    <col min="1" max="1" width="5" style="13" customWidth="1"/>
    <col min="2" max="2" width="18" style="14" customWidth="1"/>
    <col min="3" max="3" width="9" style="14" customWidth="1"/>
    <col min="4" max="4" width="45" style="14" customWidth="1"/>
    <col min="5" max="5" width="23.44140625" style="13" customWidth="1"/>
    <col min="6" max="6" width="17" style="29" customWidth="1"/>
    <col min="7" max="8" width="35" style="14" customWidth="1"/>
    <col min="9" max="9" width="10" customWidth="1"/>
    <col min="10" max="16384" width="8.88671875" style="14"/>
  </cols>
  <sheetData>
    <row r="1" spans="1:9" ht="25.5" customHeight="1" x14ac:dyDescent="0.3">
      <c r="A1" s="40" t="s">
        <v>0</v>
      </c>
      <c r="B1" s="39"/>
      <c r="C1" s="39"/>
      <c r="D1" s="39"/>
      <c r="E1" s="39"/>
      <c r="F1" s="39"/>
      <c r="G1" s="39"/>
      <c r="H1" s="39"/>
      <c r="I1" s="39"/>
    </row>
    <row r="2" spans="1:9" s="13" customFormat="1" ht="35.1" customHeight="1" x14ac:dyDescent="0.3">
      <c r="A2" s="38" t="s">
        <v>1</v>
      </c>
      <c r="B2" s="39"/>
      <c r="C2" s="39"/>
      <c r="D2" s="39"/>
      <c r="E2" s="39"/>
      <c r="F2" s="39"/>
      <c r="G2" s="39"/>
      <c r="H2" s="39"/>
      <c r="I2" s="39"/>
    </row>
    <row r="3" spans="1:9" s="13" customFormat="1" ht="22.35" customHeight="1" x14ac:dyDescent="0.3">
      <c r="A3" s="15" t="s">
        <v>2</v>
      </c>
      <c r="B3" s="15" t="s">
        <v>3</v>
      </c>
      <c r="C3" s="15" t="s">
        <v>4</v>
      </c>
      <c r="D3" s="15" t="s">
        <v>5</v>
      </c>
      <c r="E3" s="15" t="s">
        <v>6</v>
      </c>
      <c r="F3" s="16" t="s">
        <v>7</v>
      </c>
      <c r="G3" s="15" t="s">
        <v>8</v>
      </c>
      <c r="H3" s="15" t="s">
        <v>9</v>
      </c>
      <c r="I3" s="17" t="s">
        <v>10</v>
      </c>
    </row>
    <row r="4" spans="1:9" ht="17.55" customHeight="1" x14ac:dyDescent="0.3">
      <c r="A4" s="35" t="s">
        <v>11</v>
      </c>
      <c r="B4" s="36"/>
      <c r="C4" s="36"/>
      <c r="D4" s="36"/>
      <c r="E4" s="36"/>
      <c r="F4" s="36"/>
      <c r="G4" s="36"/>
      <c r="H4" s="36"/>
      <c r="I4" s="36"/>
    </row>
    <row r="5" spans="1:9" ht="87.9" customHeight="1" x14ac:dyDescent="0.3">
      <c r="A5" s="18">
        <v>1</v>
      </c>
      <c r="B5" s="18" t="s">
        <v>12</v>
      </c>
      <c r="C5" s="18" t="s">
        <v>13</v>
      </c>
      <c r="D5" s="18" t="s">
        <v>14</v>
      </c>
      <c r="E5" s="19" t="s">
        <v>15</v>
      </c>
      <c r="F5" s="20" t="s">
        <v>16</v>
      </c>
      <c r="G5" s="18" t="s">
        <v>17</v>
      </c>
      <c r="H5" s="18" t="s">
        <v>18</v>
      </c>
      <c r="I5" s="21" t="s">
        <v>19</v>
      </c>
    </row>
    <row r="6" spans="1:9" ht="87.9" customHeight="1" x14ac:dyDescent="0.3">
      <c r="A6" s="22">
        <v>2</v>
      </c>
      <c r="B6" s="22" t="s">
        <v>20</v>
      </c>
      <c r="C6" s="22" t="s">
        <v>21</v>
      </c>
      <c r="D6" s="22" t="s">
        <v>22</v>
      </c>
      <c r="E6" s="23" t="s">
        <v>23</v>
      </c>
      <c r="F6" s="24" t="s">
        <v>24</v>
      </c>
      <c r="G6" s="22" t="s">
        <v>25</v>
      </c>
      <c r="H6" s="22" t="s">
        <v>26</v>
      </c>
      <c r="I6" s="21" t="s">
        <v>19</v>
      </c>
    </row>
    <row r="7" spans="1:9" ht="87.9" customHeight="1" x14ac:dyDescent="0.3">
      <c r="A7" s="18">
        <v>3</v>
      </c>
      <c r="B7" s="18" t="s">
        <v>27</v>
      </c>
      <c r="C7" s="18" t="s">
        <v>28</v>
      </c>
      <c r="D7" s="18" t="s">
        <v>29</v>
      </c>
      <c r="E7" s="19" t="s">
        <v>30</v>
      </c>
      <c r="F7" s="20" t="s">
        <v>16</v>
      </c>
      <c r="G7" s="18" t="s">
        <v>31</v>
      </c>
      <c r="H7" s="18" t="s">
        <v>32</v>
      </c>
      <c r="I7" s="25" t="s">
        <v>33</v>
      </c>
    </row>
    <row r="8" spans="1:9" ht="87.9" customHeight="1" x14ac:dyDescent="0.3">
      <c r="A8" s="22">
        <v>4</v>
      </c>
      <c r="B8" s="22" t="s">
        <v>34</v>
      </c>
      <c r="C8" s="22" t="s">
        <v>35</v>
      </c>
      <c r="D8" s="22" t="s">
        <v>36</v>
      </c>
      <c r="E8" s="23" t="s">
        <v>37</v>
      </c>
      <c r="F8" s="20" t="s">
        <v>16</v>
      </c>
      <c r="G8" s="22" t="s">
        <v>38</v>
      </c>
      <c r="H8" s="22" t="s">
        <v>39</v>
      </c>
      <c r="I8" s="26" t="s">
        <v>40</v>
      </c>
    </row>
    <row r="9" spans="1:9" ht="87.9" customHeight="1" x14ac:dyDescent="0.3">
      <c r="A9" s="18">
        <v>5</v>
      </c>
      <c r="B9" s="18" t="s">
        <v>41</v>
      </c>
      <c r="C9" s="18" t="s">
        <v>42</v>
      </c>
      <c r="D9" s="18" t="s">
        <v>43</v>
      </c>
      <c r="E9" s="19" t="s">
        <v>44</v>
      </c>
      <c r="F9" s="20" t="s">
        <v>16</v>
      </c>
      <c r="G9" s="18" t="s">
        <v>45</v>
      </c>
      <c r="H9" s="18" t="s">
        <v>46</v>
      </c>
      <c r="I9" s="21" t="s">
        <v>19</v>
      </c>
    </row>
    <row r="10" spans="1:9" ht="87.9" customHeight="1" x14ac:dyDescent="0.3">
      <c r="A10" s="22">
        <v>6</v>
      </c>
      <c r="B10" s="22" t="s">
        <v>47</v>
      </c>
      <c r="C10" s="22" t="s">
        <v>48</v>
      </c>
      <c r="D10" s="22" t="s">
        <v>49</v>
      </c>
      <c r="E10" s="23" t="s">
        <v>50</v>
      </c>
      <c r="F10" s="20" t="s">
        <v>16</v>
      </c>
      <c r="G10" s="22" t="s">
        <v>51</v>
      </c>
      <c r="H10" s="22" t="s">
        <v>52</v>
      </c>
      <c r="I10" s="21" t="s">
        <v>19</v>
      </c>
    </row>
    <row r="11" spans="1:9" ht="87.9" customHeight="1" x14ac:dyDescent="0.3">
      <c r="A11" s="18">
        <v>7</v>
      </c>
      <c r="B11" s="18" t="s">
        <v>53</v>
      </c>
      <c r="C11" s="18" t="s">
        <v>54</v>
      </c>
      <c r="D11" s="18" t="s">
        <v>55</v>
      </c>
      <c r="E11" s="19" t="s">
        <v>56</v>
      </c>
      <c r="F11" s="27" t="s">
        <v>57</v>
      </c>
      <c r="G11" s="18" t="s">
        <v>58</v>
      </c>
      <c r="H11" s="18" t="s">
        <v>59</v>
      </c>
      <c r="I11" s="25" t="s">
        <v>33</v>
      </c>
    </row>
    <row r="12" spans="1:9" ht="17.55" customHeight="1" x14ac:dyDescent="0.3">
      <c r="A12" s="35" t="s">
        <v>60</v>
      </c>
      <c r="B12" s="36"/>
      <c r="C12" s="36"/>
      <c r="D12" s="36"/>
      <c r="E12" s="36"/>
      <c r="F12" s="36"/>
      <c r="G12" s="36"/>
      <c r="H12" s="36"/>
      <c r="I12" s="36"/>
    </row>
    <row r="13" spans="1:9" ht="87.9" customHeight="1" x14ac:dyDescent="0.3">
      <c r="A13" s="22">
        <v>8</v>
      </c>
      <c r="B13" s="22" t="s">
        <v>61</v>
      </c>
      <c r="C13" s="22" t="s">
        <v>62</v>
      </c>
      <c r="D13" s="22" t="s">
        <v>63</v>
      </c>
      <c r="E13" s="23" t="s">
        <v>64</v>
      </c>
      <c r="F13" s="28" t="s">
        <v>65</v>
      </c>
      <c r="G13" s="22" t="s">
        <v>66</v>
      </c>
      <c r="H13" s="22" t="s">
        <v>67</v>
      </c>
      <c r="I13" s="26" t="s">
        <v>40</v>
      </c>
    </row>
    <row r="14" spans="1:9" ht="87.9" customHeight="1" x14ac:dyDescent="0.3">
      <c r="A14" s="18">
        <v>9</v>
      </c>
      <c r="B14" s="18" t="s">
        <v>68</v>
      </c>
      <c r="C14" s="18" t="s">
        <v>69</v>
      </c>
      <c r="D14" s="18" t="s">
        <v>70</v>
      </c>
      <c r="E14" s="19" t="s">
        <v>71</v>
      </c>
      <c r="F14" s="20" t="s">
        <v>16</v>
      </c>
      <c r="G14" s="18" t="s">
        <v>72</v>
      </c>
      <c r="H14" s="18" t="s">
        <v>73</v>
      </c>
      <c r="I14" s="21" t="s">
        <v>19</v>
      </c>
    </row>
    <row r="15" spans="1:9" ht="87.9" customHeight="1" x14ac:dyDescent="0.3">
      <c r="A15" s="22">
        <v>10</v>
      </c>
      <c r="B15" s="22" t="s">
        <v>74</v>
      </c>
      <c r="C15" s="22" t="s">
        <v>75</v>
      </c>
      <c r="D15" s="22" t="s">
        <v>76</v>
      </c>
      <c r="E15" s="23" t="s">
        <v>77</v>
      </c>
      <c r="F15" s="28" t="s">
        <v>65</v>
      </c>
      <c r="G15" s="22" t="s">
        <v>78</v>
      </c>
      <c r="H15" s="22" t="s">
        <v>79</v>
      </c>
      <c r="I15" s="26" t="s">
        <v>40</v>
      </c>
    </row>
    <row r="16" spans="1:9" ht="87.9" customHeight="1" x14ac:dyDescent="0.3">
      <c r="A16" s="18">
        <v>11</v>
      </c>
      <c r="B16" s="18" t="s">
        <v>80</v>
      </c>
      <c r="C16" s="18" t="s">
        <v>81</v>
      </c>
      <c r="D16" s="18" t="s">
        <v>82</v>
      </c>
      <c r="E16" s="19" t="s">
        <v>83</v>
      </c>
      <c r="F16" s="27" t="s">
        <v>57</v>
      </c>
      <c r="G16" s="18" t="s">
        <v>84</v>
      </c>
      <c r="H16" s="18" t="s">
        <v>85</v>
      </c>
      <c r="I16" s="25" t="s">
        <v>33</v>
      </c>
    </row>
    <row r="17" spans="1:9" ht="87.9" customHeight="1" x14ac:dyDescent="0.3">
      <c r="A17" s="22">
        <v>12</v>
      </c>
      <c r="B17" s="22" t="s">
        <v>86</v>
      </c>
      <c r="C17" s="22" t="s">
        <v>87</v>
      </c>
      <c r="D17" s="22" t="s">
        <v>88</v>
      </c>
      <c r="E17" s="23" t="s">
        <v>89</v>
      </c>
      <c r="F17" s="24" t="s">
        <v>24</v>
      </c>
      <c r="G17" s="22" t="s">
        <v>90</v>
      </c>
      <c r="H17" s="22" t="s">
        <v>91</v>
      </c>
      <c r="I17" s="21" t="s">
        <v>19</v>
      </c>
    </row>
    <row r="18" spans="1:9" ht="87.9" customHeight="1" x14ac:dyDescent="0.3">
      <c r="A18" s="18">
        <v>13</v>
      </c>
      <c r="B18" s="18" t="s">
        <v>92</v>
      </c>
      <c r="C18" s="18" t="s">
        <v>93</v>
      </c>
      <c r="D18" s="18" t="s">
        <v>94</v>
      </c>
      <c r="E18" s="19" t="s">
        <v>95</v>
      </c>
      <c r="F18" s="24" t="s">
        <v>24</v>
      </c>
      <c r="G18" s="18" t="s">
        <v>96</v>
      </c>
      <c r="H18" s="18" t="s">
        <v>97</v>
      </c>
      <c r="I18" s="21" t="s">
        <v>19</v>
      </c>
    </row>
    <row r="19" spans="1:9" ht="87.9" customHeight="1" x14ac:dyDescent="0.3">
      <c r="A19" s="22">
        <v>14</v>
      </c>
      <c r="B19" s="22" t="s">
        <v>98</v>
      </c>
      <c r="C19" s="22" t="s">
        <v>99</v>
      </c>
      <c r="D19" s="22" t="s">
        <v>100</v>
      </c>
      <c r="E19" s="23" t="s">
        <v>101</v>
      </c>
      <c r="F19" s="24" t="s">
        <v>24</v>
      </c>
      <c r="G19" s="22" t="s">
        <v>102</v>
      </c>
      <c r="H19" s="22" t="s">
        <v>103</v>
      </c>
      <c r="I19" s="25" t="s">
        <v>33</v>
      </c>
    </row>
    <row r="20" spans="1:9" ht="87.9" customHeight="1" x14ac:dyDescent="0.3">
      <c r="A20" s="18">
        <v>15</v>
      </c>
      <c r="B20" s="18" t="s">
        <v>104</v>
      </c>
      <c r="C20" s="18" t="s">
        <v>105</v>
      </c>
      <c r="D20" s="18" t="s">
        <v>106</v>
      </c>
      <c r="E20" s="19" t="s">
        <v>89</v>
      </c>
      <c r="F20" s="24" t="s">
        <v>24</v>
      </c>
      <c r="G20" s="18" t="s">
        <v>107</v>
      </c>
      <c r="H20" s="18" t="s">
        <v>103</v>
      </c>
      <c r="I20" s="25" t="s">
        <v>33</v>
      </c>
    </row>
    <row r="21" spans="1:9" ht="87.9" customHeight="1" x14ac:dyDescent="0.3">
      <c r="A21" s="22">
        <v>16</v>
      </c>
      <c r="B21" s="22" t="s">
        <v>108</v>
      </c>
      <c r="C21" s="22" t="s">
        <v>109</v>
      </c>
      <c r="D21" s="22" t="s">
        <v>110</v>
      </c>
      <c r="E21" s="23" t="s">
        <v>89</v>
      </c>
      <c r="F21" s="24" t="s">
        <v>24</v>
      </c>
      <c r="G21" s="22" t="s">
        <v>111</v>
      </c>
      <c r="H21" s="22" t="s">
        <v>112</v>
      </c>
      <c r="I21" s="25" t="s">
        <v>33</v>
      </c>
    </row>
    <row r="22" spans="1:9" ht="17.55" customHeight="1" x14ac:dyDescent="0.3">
      <c r="A22" s="35" t="s">
        <v>113</v>
      </c>
      <c r="B22" s="36"/>
      <c r="C22" s="36"/>
      <c r="D22" s="36"/>
      <c r="E22" s="36"/>
      <c r="F22" s="36"/>
      <c r="G22" s="36"/>
      <c r="H22" s="36"/>
      <c r="I22" s="36"/>
    </row>
    <row r="23" spans="1:9" ht="87.9" customHeight="1" x14ac:dyDescent="0.3">
      <c r="A23" s="18">
        <v>17</v>
      </c>
      <c r="B23" s="18" t="s">
        <v>114</v>
      </c>
      <c r="C23" s="18" t="s">
        <v>115</v>
      </c>
      <c r="D23" s="18" t="s">
        <v>116</v>
      </c>
      <c r="E23" s="19" t="s">
        <v>117</v>
      </c>
      <c r="F23" s="20" t="s">
        <v>16</v>
      </c>
      <c r="G23" s="18" t="s">
        <v>118</v>
      </c>
      <c r="H23" s="18" t="s">
        <v>119</v>
      </c>
      <c r="I23" s="26" t="s">
        <v>40</v>
      </c>
    </row>
    <row r="24" spans="1:9" ht="87.9" customHeight="1" x14ac:dyDescent="0.3">
      <c r="A24" s="22">
        <v>18</v>
      </c>
      <c r="B24" s="22" t="s">
        <v>120</v>
      </c>
      <c r="C24" s="22" t="s">
        <v>121</v>
      </c>
      <c r="D24" s="22" t="s">
        <v>122</v>
      </c>
      <c r="E24" s="23" t="s">
        <v>123</v>
      </c>
      <c r="F24" s="24" t="s">
        <v>24</v>
      </c>
      <c r="G24" s="22" t="s">
        <v>124</v>
      </c>
      <c r="H24" s="22" t="s">
        <v>125</v>
      </c>
      <c r="I24" s="26" t="s">
        <v>40</v>
      </c>
    </row>
    <row r="25" spans="1:9" ht="87.9" customHeight="1" x14ac:dyDescent="0.3">
      <c r="A25" s="18">
        <v>19</v>
      </c>
      <c r="B25" s="18" t="s">
        <v>126</v>
      </c>
      <c r="C25" s="18" t="s">
        <v>127</v>
      </c>
      <c r="D25" s="18" t="s">
        <v>128</v>
      </c>
      <c r="E25" s="19" t="s">
        <v>89</v>
      </c>
      <c r="F25" s="24" t="s">
        <v>24</v>
      </c>
      <c r="G25" s="18" t="s">
        <v>129</v>
      </c>
      <c r="H25" s="18" t="s">
        <v>130</v>
      </c>
      <c r="I25" s="21" t="s">
        <v>19</v>
      </c>
    </row>
    <row r="26" spans="1:9" ht="87.9" customHeight="1" x14ac:dyDescent="0.3">
      <c r="A26" s="22">
        <v>20</v>
      </c>
      <c r="B26" s="22" t="s">
        <v>131</v>
      </c>
      <c r="C26" s="22" t="s">
        <v>132</v>
      </c>
      <c r="D26" s="22" t="s">
        <v>133</v>
      </c>
      <c r="E26" s="23" t="s">
        <v>134</v>
      </c>
      <c r="F26" s="27" t="s">
        <v>57</v>
      </c>
      <c r="G26" s="22" t="s">
        <v>135</v>
      </c>
      <c r="H26" s="22" t="s">
        <v>136</v>
      </c>
      <c r="I26" s="25" t="s">
        <v>33</v>
      </c>
    </row>
    <row r="27" spans="1:9" ht="17.55" customHeight="1" x14ac:dyDescent="0.3">
      <c r="A27" s="35" t="s">
        <v>137</v>
      </c>
      <c r="B27" s="36"/>
      <c r="C27" s="36"/>
      <c r="D27" s="36"/>
      <c r="E27" s="36"/>
      <c r="F27" s="36"/>
      <c r="G27" s="36"/>
      <c r="H27" s="36"/>
      <c r="I27" s="36"/>
    </row>
    <row r="28" spans="1:9" ht="87.9" customHeight="1" x14ac:dyDescent="0.3">
      <c r="A28" s="18">
        <v>21</v>
      </c>
      <c r="B28" s="18" t="s">
        <v>138</v>
      </c>
      <c r="C28" s="18" t="s">
        <v>139</v>
      </c>
      <c r="D28" s="18" t="s">
        <v>140</v>
      </c>
      <c r="E28" s="19" t="s">
        <v>141</v>
      </c>
      <c r="F28" s="20" t="s">
        <v>16</v>
      </c>
      <c r="G28" s="18" t="s">
        <v>142</v>
      </c>
      <c r="H28" s="18" t="s">
        <v>143</v>
      </c>
      <c r="I28" s="21" t="s">
        <v>19</v>
      </c>
    </row>
    <row r="29" spans="1:9" ht="87.9" customHeight="1" x14ac:dyDescent="0.3">
      <c r="A29" s="22">
        <v>22</v>
      </c>
      <c r="B29" s="22" t="s">
        <v>144</v>
      </c>
      <c r="C29" s="22" t="s">
        <v>145</v>
      </c>
      <c r="D29" s="22" t="s">
        <v>146</v>
      </c>
      <c r="E29" s="23" t="s">
        <v>147</v>
      </c>
      <c r="F29" s="27" t="s">
        <v>57</v>
      </c>
      <c r="G29" s="22" t="s">
        <v>148</v>
      </c>
      <c r="H29" s="22" t="s">
        <v>149</v>
      </c>
      <c r="I29" s="25" t="s">
        <v>33</v>
      </c>
    </row>
    <row r="30" spans="1:9" ht="17.55" customHeight="1" x14ac:dyDescent="0.3">
      <c r="A30" s="35" t="s">
        <v>150</v>
      </c>
      <c r="B30" s="36"/>
      <c r="C30" s="36"/>
      <c r="D30" s="36"/>
      <c r="E30" s="36"/>
      <c r="F30" s="36"/>
      <c r="G30" s="36"/>
      <c r="H30" s="36"/>
      <c r="I30" s="36"/>
    </row>
    <row r="31" spans="1:9" ht="87.9" customHeight="1" x14ac:dyDescent="0.3">
      <c r="A31" s="18">
        <v>23</v>
      </c>
      <c r="B31" s="18" t="s">
        <v>151</v>
      </c>
      <c r="C31" s="18" t="s">
        <v>152</v>
      </c>
      <c r="D31" s="18" t="s">
        <v>153</v>
      </c>
      <c r="E31" s="19" t="s">
        <v>154</v>
      </c>
      <c r="F31" s="24" t="s">
        <v>24</v>
      </c>
      <c r="G31" s="18" t="s">
        <v>155</v>
      </c>
      <c r="H31" s="18" t="s">
        <v>156</v>
      </c>
      <c r="I31" s="25" t="s">
        <v>33</v>
      </c>
    </row>
    <row r="32" spans="1:9" ht="17.55" customHeight="1" x14ac:dyDescent="0.3">
      <c r="A32" s="35" t="s">
        <v>157</v>
      </c>
      <c r="B32" s="36"/>
      <c r="C32" s="36"/>
      <c r="D32" s="36"/>
      <c r="E32" s="36"/>
      <c r="F32" s="36"/>
      <c r="G32" s="36"/>
      <c r="H32" s="36"/>
      <c r="I32" s="36"/>
    </row>
    <row r="33" spans="1:9" ht="87.9" customHeight="1" x14ac:dyDescent="0.3">
      <c r="A33" s="22">
        <v>24</v>
      </c>
      <c r="B33" s="22" t="s">
        <v>158</v>
      </c>
      <c r="C33" s="22" t="s">
        <v>159</v>
      </c>
      <c r="D33" s="22" t="s">
        <v>160</v>
      </c>
      <c r="E33" s="23" t="s">
        <v>161</v>
      </c>
      <c r="F33" s="20" t="s">
        <v>16</v>
      </c>
      <c r="G33" s="22" t="s">
        <v>162</v>
      </c>
      <c r="H33" s="22" t="s">
        <v>163</v>
      </c>
      <c r="I33" s="25" t="s">
        <v>33</v>
      </c>
    </row>
    <row r="34" spans="1:9" ht="87.9" customHeight="1" x14ac:dyDescent="0.3">
      <c r="A34" s="18">
        <v>25</v>
      </c>
      <c r="B34" s="18" t="s">
        <v>164</v>
      </c>
      <c r="C34" s="18" t="s">
        <v>165</v>
      </c>
      <c r="D34" s="18" t="s">
        <v>166</v>
      </c>
      <c r="E34" s="19" t="s">
        <v>167</v>
      </c>
      <c r="F34" s="24" t="s">
        <v>24</v>
      </c>
      <c r="G34" s="18" t="s">
        <v>168</v>
      </c>
      <c r="H34" s="18" t="s">
        <v>103</v>
      </c>
      <c r="I34" s="25" t="s">
        <v>33</v>
      </c>
    </row>
    <row r="35" spans="1:9" ht="87.9" customHeight="1" x14ac:dyDescent="0.3">
      <c r="A35" s="22">
        <v>26</v>
      </c>
      <c r="B35" s="22" t="s">
        <v>169</v>
      </c>
      <c r="C35" s="22" t="s">
        <v>170</v>
      </c>
      <c r="D35" s="22" t="s">
        <v>171</v>
      </c>
      <c r="E35" s="23" t="s">
        <v>172</v>
      </c>
      <c r="F35" s="20" t="s">
        <v>16</v>
      </c>
      <c r="G35" s="22" t="s">
        <v>173</v>
      </c>
      <c r="H35" s="22" t="s">
        <v>174</v>
      </c>
      <c r="I35" s="21" t="s">
        <v>19</v>
      </c>
    </row>
    <row r="36" spans="1:9" ht="87.9" customHeight="1" x14ac:dyDescent="0.3">
      <c r="A36" s="18">
        <v>27</v>
      </c>
      <c r="B36" s="18" t="s">
        <v>175</v>
      </c>
      <c r="C36" s="18" t="s">
        <v>176</v>
      </c>
      <c r="D36" s="18" t="s">
        <v>177</v>
      </c>
      <c r="E36" s="19" t="s">
        <v>178</v>
      </c>
      <c r="F36" s="27" t="s">
        <v>57</v>
      </c>
      <c r="G36" s="18" t="s">
        <v>179</v>
      </c>
      <c r="H36" s="18" t="s">
        <v>180</v>
      </c>
      <c r="I36" s="25" t="s">
        <v>33</v>
      </c>
    </row>
    <row r="37" spans="1:9" ht="87.9" customHeight="1" x14ac:dyDescent="0.3">
      <c r="A37" s="22">
        <v>28</v>
      </c>
      <c r="B37" s="22" t="s">
        <v>181</v>
      </c>
      <c r="C37" s="22" t="s">
        <v>182</v>
      </c>
      <c r="D37" s="22" t="s">
        <v>183</v>
      </c>
      <c r="E37" s="23" t="s">
        <v>184</v>
      </c>
      <c r="F37" s="24" t="s">
        <v>24</v>
      </c>
      <c r="G37" s="22" t="s">
        <v>185</v>
      </c>
      <c r="H37" s="22" t="s">
        <v>186</v>
      </c>
      <c r="I37" s="21" t="s">
        <v>19</v>
      </c>
    </row>
    <row r="38" spans="1:9" ht="87.9" customHeight="1" x14ac:dyDescent="0.3">
      <c r="A38" s="18">
        <v>29</v>
      </c>
      <c r="B38" s="18" t="s">
        <v>187</v>
      </c>
      <c r="C38" s="18" t="s">
        <v>188</v>
      </c>
      <c r="D38" s="18" t="s">
        <v>189</v>
      </c>
      <c r="E38" s="19" t="s">
        <v>190</v>
      </c>
      <c r="F38" s="20" t="s">
        <v>16</v>
      </c>
      <c r="G38" s="18" t="s">
        <v>191</v>
      </c>
      <c r="H38" s="18" t="s">
        <v>192</v>
      </c>
      <c r="I38" s="26" t="s">
        <v>40</v>
      </c>
    </row>
    <row r="39" spans="1:9" ht="87.9" customHeight="1" x14ac:dyDescent="0.3">
      <c r="A39" s="22">
        <v>30</v>
      </c>
      <c r="B39" s="22" t="s">
        <v>193</v>
      </c>
      <c r="C39" s="22" t="s">
        <v>194</v>
      </c>
      <c r="D39" s="22" t="s">
        <v>195</v>
      </c>
      <c r="E39" s="23" t="s">
        <v>196</v>
      </c>
      <c r="F39" s="20" t="s">
        <v>16</v>
      </c>
      <c r="G39" s="22" t="s">
        <v>197</v>
      </c>
      <c r="H39" s="22" t="s">
        <v>198</v>
      </c>
      <c r="I39" s="21" t="s">
        <v>19</v>
      </c>
    </row>
    <row r="40" spans="1:9" ht="17.55" customHeight="1" x14ac:dyDescent="0.3">
      <c r="A40" s="37" t="s">
        <v>199</v>
      </c>
      <c r="B40" s="36"/>
      <c r="C40" s="36"/>
      <c r="D40" s="36"/>
      <c r="E40" s="36"/>
      <c r="F40" s="36"/>
      <c r="G40" s="36"/>
      <c r="H40" s="36"/>
      <c r="I40" s="36"/>
    </row>
    <row r="41" spans="1:9" ht="17.55" customHeight="1" x14ac:dyDescent="0.3">
      <c r="A41" s="37" t="s">
        <v>200</v>
      </c>
      <c r="B41" s="36"/>
      <c r="C41" s="36"/>
      <c r="D41" s="36"/>
      <c r="E41" s="36"/>
      <c r="F41" s="36"/>
      <c r="G41" s="36"/>
      <c r="H41" s="36"/>
      <c r="I41" s="36"/>
    </row>
    <row r="42" spans="1:9" ht="87.9" customHeight="1" x14ac:dyDescent="0.3">
      <c r="A42" s="18">
        <v>31</v>
      </c>
      <c r="B42" s="18" t="s">
        <v>201</v>
      </c>
      <c r="C42" s="18" t="s">
        <v>202</v>
      </c>
      <c r="D42" s="18" t="s">
        <v>203</v>
      </c>
      <c r="E42" s="19" t="s">
        <v>204</v>
      </c>
      <c r="F42" s="28" t="s">
        <v>65</v>
      </c>
      <c r="G42" s="18" t="s">
        <v>205</v>
      </c>
      <c r="H42" s="18" t="s">
        <v>206</v>
      </c>
      <c r="I42" s="26" t="s">
        <v>40</v>
      </c>
    </row>
    <row r="43" spans="1:9" ht="87.9" customHeight="1" x14ac:dyDescent="0.3">
      <c r="A43" s="18">
        <v>32</v>
      </c>
      <c r="B43" s="18" t="s">
        <v>207</v>
      </c>
      <c r="C43" s="18" t="s">
        <v>208</v>
      </c>
      <c r="D43" s="18" t="s">
        <v>209</v>
      </c>
      <c r="E43" s="19" t="s">
        <v>210</v>
      </c>
      <c r="F43" s="20" t="s">
        <v>16</v>
      </c>
      <c r="G43" s="18" t="s">
        <v>211</v>
      </c>
      <c r="H43" s="18" t="s">
        <v>212</v>
      </c>
      <c r="I43" s="21" t="s">
        <v>19</v>
      </c>
    </row>
    <row r="44" spans="1:9" ht="87.9" customHeight="1" x14ac:dyDescent="0.3">
      <c r="A44" s="18">
        <v>33</v>
      </c>
      <c r="B44" s="18" t="s">
        <v>213</v>
      </c>
      <c r="C44" s="18" t="s">
        <v>214</v>
      </c>
      <c r="D44" s="18" t="s">
        <v>215</v>
      </c>
      <c r="E44" s="19" t="s">
        <v>89</v>
      </c>
      <c r="F44" s="24" t="s">
        <v>24</v>
      </c>
      <c r="G44" s="18" t="s">
        <v>216</v>
      </c>
      <c r="H44" s="18" t="s">
        <v>217</v>
      </c>
      <c r="I44" s="21" t="s">
        <v>19</v>
      </c>
    </row>
    <row r="45" spans="1:9" ht="87.9" customHeight="1" x14ac:dyDescent="0.3">
      <c r="A45" s="18">
        <v>34</v>
      </c>
      <c r="B45" s="18" t="s">
        <v>218</v>
      </c>
      <c r="C45" s="18" t="s">
        <v>219</v>
      </c>
      <c r="D45" s="18" t="s">
        <v>106</v>
      </c>
      <c r="E45" s="19" t="s">
        <v>89</v>
      </c>
      <c r="F45" s="24" t="s">
        <v>24</v>
      </c>
      <c r="G45" s="18" t="s">
        <v>220</v>
      </c>
      <c r="H45" s="18" t="s">
        <v>221</v>
      </c>
      <c r="I45" s="25" t="s">
        <v>33</v>
      </c>
    </row>
    <row r="46" spans="1:9" ht="87.9" customHeight="1" x14ac:dyDescent="0.3">
      <c r="A46" s="18">
        <v>35</v>
      </c>
      <c r="B46" s="18" t="s">
        <v>222</v>
      </c>
      <c r="C46" s="18" t="s">
        <v>223</v>
      </c>
      <c r="D46" s="18" t="s">
        <v>224</v>
      </c>
      <c r="E46" s="19" t="s">
        <v>225</v>
      </c>
      <c r="F46" s="28" t="s">
        <v>65</v>
      </c>
      <c r="G46" s="18" t="s">
        <v>226</v>
      </c>
      <c r="H46" s="18" t="s">
        <v>227</v>
      </c>
      <c r="I46" s="26" t="s">
        <v>40</v>
      </c>
    </row>
    <row r="47" spans="1:9" ht="87.9" customHeight="1" x14ac:dyDescent="0.3">
      <c r="A47" s="18">
        <v>36</v>
      </c>
      <c r="B47" s="18" t="s">
        <v>228</v>
      </c>
      <c r="C47" s="18" t="s">
        <v>229</v>
      </c>
      <c r="D47" s="18" t="s">
        <v>230</v>
      </c>
      <c r="E47" s="19" t="s">
        <v>50</v>
      </c>
      <c r="F47" s="20" t="s">
        <v>16</v>
      </c>
      <c r="G47" s="18" t="s">
        <v>231</v>
      </c>
      <c r="H47" s="18" t="s">
        <v>232</v>
      </c>
      <c r="I47" s="26" t="s">
        <v>40</v>
      </c>
    </row>
    <row r="48" spans="1:9" ht="17.55" customHeight="1" x14ac:dyDescent="0.3">
      <c r="A48" s="37" t="s">
        <v>233</v>
      </c>
      <c r="B48" s="36"/>
      <c r="C48" s="36"/>
      <c r="D48" s="36"/>
      <c r="E48" s="36"/>
      <c r="F48" s="36"/>
      <c r="G48" s="36"/>
      <c r="H48" s="36"/>
      <c r="I48" s="36"/>
    </row>
    <row r="49" spans="1:9" ht="87.9" customHeight="1" x14ac:dyDescent="0.3">
      <c r="A49" s="18">
        <v>37</v>
      </c>
      <c r="B49" s="18" t="s">
        <v>234</v>
      </c>
      <c r="C49" s="18" t="s">
        <v>235</v>
      </c>
      <c r="D49" s="18" t="s">
        <v>236</v>
      </c>
      <c r="E49" s="19" t="s">
        <v>95</v>
      </c>
      <c r="F49" s="24" t="s">
        <v>24</v>
      </c>
      <c r="G49" s="18" t="s">
        <v>237</v>
      </c>
      <c r="H49" s="18" t="s">
        <v>238</v>
      </c>
      <c r="I49" s="21" t="s">
        <v>19</v>
      </c>
    </row>
    <row r="50" spans="1:9" ht="17.55" customHeight="1" x14ac:dyDescent="0.3">
      <c r="A50" s="37" t="s">
        <v>239</v>
      </c>
      <c r="B50" s="36"/>
      <c r="C50" s="36"/>
      <c r="D50" s="36"/>
      <c r="E50" s="36"/>
      <c r="F50" s="36"/>
      <c r="G50" s="36"/>
      <c r="H50" s="36"/>
      <c r="I50" s="36"/>
    </row>
    <row r="51" spans="1:9" ht="87.9" customHeight="1" x14ac:dyDescent="0.3">
      <c r="A51" s="18">
        <v>38</v>
      </c>
      <c r="B51" s="18" t="s">
        <v>240</v>
      </c>
      <c r="C51" s="18" t="s">
        <v>241</v>
      </c>
      <c r="D51" s="18" t="s">
        <v>242</v>
      </c>
      <c r="E51" s="19" t="s">
        <v>243</v>
      </c>
      <c r="F51" s="20" t="s">
        <v>16</v>
      </c>
      <c r="G51" s="18" t="s">
        <v>244</v>
      </c>
      <c r="H51" s="18" t="s">
        <v>245</v>
      </c>
      <c r="I51" s="26" t="s">
        <v>40</v>
      </c>
    </row>
    <row r="52" spans="1:9" ht="87.9" customHeight="1" x14ac:dyDescent="0.3">
      <c r="A52" s="18">
        <v>39</v>
      </c>
      <c r="B52" s="18" t="s">
        <v>246</v>
      </c>
      <c r="C52" s="18" t="s">
        <v>247</v>
      </c>
      <c r="D52" s="18" t="s">
        <v>106</v>
      </c>
      <c r="E52" s="19" t="s">
        <v>89</v>
      </c>
      <c r="F52" s="24" t="s">
        <v>24</v>
      </c>
      <c r="G52" s="18" t="s">
        <v>248</v>
      </c>
      <c r="H52" s="18" t="s">
        <v>103</v>
      </c>
      <c r="I52" s="21" t="s">
        <v>19</v>
      </c>
    </row>
    <row r="53" spans="1:9" ht="87.9" customHeight="1" x14ac:dyDescent="0.3">
      <c r="A53" s="18">
        <v>40</v>
      </c>
      <c r="B53" s="18" t="s">
        <v>249</v>
      </c>
      <c r="C53" s="18" t="s">
        <v>250</v>
      </c>
      <c r="D53" s="18" t="s">
        <v>251</v>
      </c>
      <c r="E53" s="19" t="s">
        <v>89</v>
      </c>
      <c r="F53" s="24" t="s">
        <v>24</v>
      </c>
      <c r="G53" s="18" t="s">
        <v>252</v>
      </c>
      <c r="H53" s="18" t="s">
        <v>103</v>
      </c>
      <c r="I53" s="21" t="s">
        <v>19</v>
      </c>
    </row>
    <row r="54" spans="1:9" ht="87.9" customHeight="1" x14ac:dyDescent="0.3">
      <c r="A54" s="18">
        <v>41</v>
      </c>
      <c r="B54" s="18" t="s">
        <v>253</v>
      </c>
      <c r="C54" s="18" t="s">
        <v>254</v>
      </c>
      <c r="D54" s="18" t="s">
        <v>106</v>
      </c>
      <c r="E54" s="19" t="s">
        <v>89</v>
      </c>
      <c r="F54" s="24" t="s">
        <v>24</v>
      </c>
      <c r="G54" s="18" t="s">
        <v>255</v>
      </c>
      <c r="H54" s="18" t="s">
        <v>103</v>
      </c>
      <c r="I54" s="21" t="s">
        <v>19</v>
      </c>
    </row>
    <row r="55" spans="1:9" ht="17.55" customHeight="1" x14ac:dyDescent="0.3">
      <c r="A55" s="35" t="s">
        <v>256</v>
      </c>
      <c r="B55" s="36"/>
      <c r="C55" s="36"/>
      <c r="D55" s="36"/>
      <c r="E55" s="36"/>
      <c r="F55" s="36"/>
      <c r="G55" s="36"/>
      <c r="H55" s="36"/>
      <c r="I55" s="36"/>
    </row>
    <row r="56" spans="1:9" ht="285.60000000000002" x14ac:dyDescent="0.3">
      <c r="A56" s="18" t="s">
        <v>257</v>
      </c>
      <c r="B56" s="18" t="s">
        <v>258</v>
      </c>
      <c r="C56" s="18" t="s">
        <v>259</v>
      </c>
      <c r="D56" s="18" t="s">
        <v>260</v>
      </c>
      <c r="E56" s="19" t="s">
        <v>261</v>
      </c>
      <c r="F56" s="20" t="s">
        <v>16</v>
      </c>
      <c r="G56" s="18" t="s">
        <v>262</v>
      </c>
      <c r="H56" s="18" t="s">
        <v>263</v>
      </c>
      <c r="I56" s="21" t="s">
        <v>19</v>
      </c>
    </row>
    <row r="57" spans="1:9" ht="87.9" customHeight="1" x14ac:dyDescent="0.3">
      <c r="A57" s="18" t="s">
        <v>264</v>
      </c>
      <c r="B57" s="18" t="s">
        <v>265</v>
      </c>
      <c r="C57" s="18" t="s">
        <v>266</v>
      </c>
      <c r="D57" s="18" t="s">
        <v>267</v>
      </c>
      <c r="E57" s="19" t="s">
        <v>89</v>
      </c>
      <c r="F57" s="24" t="s">
        <v>24</v>
      </c>
      <c r="G57" s="18" t="s">
        <v>268</v>
      </c>
      <c r="H57" s="18" t="s">
        <v>269</v>
      </c>
      <c r="I57" s="21" t="s">
        <v>19</v>
      </c>
    </row>
    <row r="58" spans="1:9" ht="87.9" customHeight="1" x14ac:dyDescent="0.3">
      <c r="A58" s="22" t="s">
        <v>270</v>
      </c>
      <c r="B58" s="22" t="s">
        <v>271</v>
      </c>
      <c r="C58" s="22" t="s">
        <v>272</v>
      </c>
      <c r="D58" s="22" t="s">
        <v>273</v>
      </c>
      <c r="E58" s="23" t="s">
        <v>89</v>
      </c>
      <c r="F58" s="24" t="s">
        <v>24</v>
      </c>
      <c r="G58" s="22" t="s">
        <v>274</v>
      </c>
      <c r="H58" s="22" t="s">
        <v>275</v>
      </c>
      <c r="I58" s="21" t="s">
        <v>19</v>
      </c>
    </row>
    <row r="59" spans="1:9" ht="17.55" customHeight="1" x14ac:dyDescent="0.3">
      <c r="A59" s="35" t="s">
        <v>276</v>
      </c>
      <c r="B59" s="36"/>
      <c r="C59" s="36"/>
      <c r="D59" s="36"/>
      <c r="E59" s="36"/>
      <c r="F59" s="36"/>
      <c r="G59" s="36"/>
      <c r="H59" s="36"/>
      <c r="I59" s="36"/>
    </row>
    <row r="60" spans="1:9" ht="87.9" customHeight="1" x14ac:dyDescent="0.3">
      <c r="A60" s="18" t="s">
        <v>277</v>
      </c>
      <c r="B60" s="18" t="s">
        <v>278</v>
      </c>
      <c r="C60" s="18" t="s">
        <v>279</v>
      </c>
      <c r="D60" s="18" t="s">
        <v>106</v>
      </c>
      <c r="E60" s="19" t="s">
        <v>89</v>
      </c>
      <c r="F60" s="24" t="s">
        <v>24</v>
      </c>
      <c r="G60" s="18" t="s">
        <v>280</v>
      </c>
      <c r="H60" s="18" t="s">
        <v>281</v>
      </c>
      <c r="I60" s="21" t="s">
        <v>19</v>
      </c>
    </row>
    <row r="61" spans="1:9" ht="87.9" customHeight="1" x14ac:dyDescent="0.3">
      <c r="A61" s="22" t="s">
        <v>282</v>
      </c>
      <c r="B61" s="22" t="s">
        <v>283</v>
      </c>
      <c r="C61" s="22" t="s">
        <v>284</v>
      </c>
      <c r="D61" s="22" t="s">
        <v>285</v>
      </c>
      <c r="E61" s="23" t="s">
        <v>286</v>
      </c>
      <c r="F61" s="24" t="s">
        <v>24</v>
      </c>
      <c r="G61" s="22" t="s">
        <v>287</v>
      </c>
      <c r="H61" s="22" t="s">
        <v>288</v>
      </c>
      <c r="I61" s="21" t="s">
        <v>19</v>
      </c>
    </row>
    <row r="62" spans="1:9" ht="87.9" customHeight="1" x14ac:dyDescent="0.3">
      <c r="A62" s="18" t="s">
        <v>289</v>
      </c>
      <c r="B62" s="18" t="s">
        <v>290</v>
      </c>
      <c r="C62" s="18" t="s">
        <v>291</v>
      </c>
      <c r="D62" s="18" t="s">
        <v>292</v>
      </c>
      <c r="E62" s="19" t="s">
        <v>167</v>
      </c>
      <c r="F62" s="20" t="s">
        <v>16</v>
      </c>
      <c r="G62" s="18" t="s">
        <v>293</v>
      </c>
      <c r="H62" s="18" t="s">
        <v>294</v>
      </c>
      <c r="I62" s="21" t="s">
        <v>19</v>
      </c>
    </row>
    <row r="63" spans="1:9" ht="87.9" customHeight="1" x14ac:dyDescent="0.3">
      <c r="A63" s="22" t="s">
        <v>295</v>
      </c>
      <c r="B63" s="22" t="s">
        <v>296</v>
      </c>
      <c r="C63" s="22" t="s">
        <v>297</v>
      </c>
      <c r="D63" s="22" t="s">
        <v>298</v>
      </c>
      <c r="E63" s="23" t="s">
        <v>299</v>
      </c>
      <c r="F63" s="20" t="s">
        <v>16</v>
      </c>
      <c r="G63" s="22" t="s">
        <v>300</v>
      </c>
      <c r="H63" s="22" t="s">
        <v>301</v>
      </c>
      <c r="I63" s="26" t="s">
        <v>40</v>
      </c>
    </row>
    <row r="64" spans="1:9" ht="87.9" customHeight="1" x14ac:dyDescent="0.3">
      <c r="A64" s="18" t="s">
        <v>302</v>
      </c>
      <c r="B64" s="18" t="s">
        <v>303</v>
      </c>
      <c r="C64" s="18" t="s">
        <v>304</v>
      </c>
      <c r="D64" s="18" t="s">
        <v>305</v>
      </c>
      <c r="E64" s="19" t="s">
        <v>306</v>
      </c>
      <c r="F64" s="20" t="s">
        <v>16</v>
      </c>
      <c r="G64" s="18" t="s">
        <v>307</v>
      </c>
      <c r="H64" s="18" t="s">
        <v>308</v>
      </c>
      <c r="I64" s="21" t="s">
        <v>19</v>
      </c>
    </row>
    <row r="65" spans="1:9" ht="87.9" customHeight="1" x14ac:dyDescent="0.3">
      <c r="A65" s="22" t="s">
        <v>309</v>
      </c>
      <c r="B65" s="22" t="s">
        <v>310</v>
      </c>
      <c r="C65" s="22" t="s">
        <v>311</v>
      </c>
      <c r="D65" s="22" t="s">
        <v>312</v>
      </c>
      <c r="E65" s="23" t="s">
        <v>313</v>
      </c>
      <c r="F65" s="27" t="s">
        <v>57</v>
      </c>
      <c r="G65" s="22" t="s">
        <v>314</v>
      </c>
      <c r="H65" s="22" t="s">
        <v>315</v>
      </c>
      <c r="I65" s="25" t="s">
        <v>33</v>
      </c>
    </row>
    <row r="66" spans="1:9" ht="87.9" customHeight="1" x14ac:dyDescent="0.3">
      <c r="A66" s="18" t="s">
        <v>316</v>
      </c>
      <c r="B66" s="18" t="s">
        <v>317</v>
      </c>
      <c r="C66" s="18" t="s">
        <v>318</v>
      </c>
      <c r="D66" s="18" t="s">
        <v>319</v>
      </c>
      <c r="E66" s="19" t="s">
        <v>306</v>
      </c>
      <c r="F66" s="20" t="s">
        <v>16</v>
      </c>
      <c r="G66" s="18" t="s">
        <v>320</v>
      </c>
      <c r="H66" s="18" t="s">
        <v>321</v>
      </c>
      <c r="I66" s="21" t="s">
        <v>19</v>
      </c>
    </row>
  </sheetData>
  <mergeCells count="14">
    <mergeCell ref="A1:I1"/>
    <mergeCell ref="A40:I40"/>
    <mergeCell ref="A27:I27"/>
    <mergeCell ref="A22:I22"/>
    <mergeCell ref="A55:I55"/>
    <mergeCell ref="A12:I12"/>
    <mergeCell ref="A4:I4"/>
    <mergeCell ref="A48:I48"/>
    <mergeCell ref="A30:I30"/>
    <mergeCell ref="A59:I59"/>
    <mergeCell ref="A41:I41"/>
    <mergeCell ref="A2:I2"/>
    <mergeCell ref="A50:I50"/>
    <mergeCell ref="A32:I3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8"/>
  <sheetViews>
    <sheetView workbookViewId="0">
      <selection activeCell="C22" sqref="C22"/>
    </sheetView>
  </sheetViews>
  <sheetFormatPr defaultRowHeight="14.4" x14ac:dyDescent="0.3"/>
  <cols>
    <col min="1" max="1" width="8" customWidth="1"/>
    <col min="2" max="2" width="40" customWidth="1"/>
    <col min="3" max="3" width="22" customWidth="1"/>
    <col min="4" max="4" width="10" customWidth="1"/>
    <col min="5" max="5" width="70" customWidth="1"/>
  </cols>
  <sheetData>
    <row r="1" spans="1:5" ht="30" customHeight="1" x14ac:dyDescent="0.3">
      <c r="A1" s="41" t="s">
        <v>322</v>
      </c>
      <c r="B1" s="42"/>
      <c r="C1" s="42"/>
      <c r="D1" s="42"/>
      <c r="E1" s="42"/>
    </row>
    <row r="3" spans="1:5" x14ac:dyDescent="0.3">
      <c r="A3" s="44" t="s">
        <v>323</v>
      </c>
      <c r="B3" s="42"/>
      <c r="C3" s="42"/>
      <c r="D3" s="42"/>
      <c r="E3" s="42"/>
    </row>
    <row r="4" spans="1:5" x14ac:dyDescent="0.3">
      <c r="A4" s="1" t="s">
        <v>2</v>
      </c>
      <c r="B4" s="1" t="s">
        <v>7</v>
      </c>
      <c r="C4" s="1" t="s">
        <v>324</v>
      </c>
      <c r="D4" s="1" t="s">
        <v>325</v>
      </c>
      <c r="E4" s="1" t="s">
        <v>326</v>
      </c>
    </row>
    <row r="5" spans="1:5" x14ac:dyDescent="0.3">
      <c r="A5" s="2">
        <v>1</v>
      </c>
      <c r="B5" s="3" t="s">
        <v>57</v>
      </c>
      <c r="C5" s="2">
        <f>COUNTIF('Analisi E27 — CAIM'!$F$4:$F$66,"CONFORME")</f>
        <v>6</v>
      </c>
      <c r="D5" s="2">
        <f>COUNTIF('Analisi E27 — CAIM'!$F$4:$F$66,"CONFORME")+COUNTIF('Analisi E27 — CAIM'!$F$4:$F$66,"PARZIALMENTE CONFORME")+COUNTIF('Analisi E27 — CAIM'!$F$4:$F$66,"NON CONFORME")+COUNTIF('Analisi E27 — CAIM'!$F$4:$F$66,"DA VERIFICARE")+COUNTIF('Analisi E27 — CAIM'!$F$4:$F$66,"N/A")</f>
        <v>51</v>
      </c>
      <c r="E5" s="4">
        <f>IF(D5=0,"",C5/D5)</f>
        <v>0.11764705882352941</v>
      </c>
    </row>
    <row r="6" spans="1:5" x14ac:dyDescent="0.3">
      <c r="A6" s="2">
        <v>2</v>
      </c>
      <c r="B6" s="5" t="s">
        <v>16</v>
      </c>
      <c r="C6" s="2">
        <f>COUNTIF('Analisi E27 — CAIM'!$F$4:$F$66,"PARZIALMENTE CONFORME")</f>
        <v>20</v>
      </c>
      <c r="D6" s="2">
        <f>COUNTIF('Analisi E27 — CAIM'!$F$4:$F$66,"CONFORME")+COUNTIF('Analisi E27 — CAIM'!$F$4:$F$66,"PARZIALMENTE CONFORME")+COUNTIF('Analisi E27 — CAIM'!$F$4:$F$66,"NON CONFORME")+COUNTIF('Analisi E27 — CAIM'!$F$4:$F$66,"DA VERIFICARE")+COUNTIF('Analisi E27 — CAIM'!$F$4:$F$66,"N/A")</f>
        <v>51</v>
      </c>
      <c r="E6" s="4">
        <f>IF(D6=0,"",C6/D6)</f>
        <v>0.39215686274509803</v>
      </c>
    </row>
    <row r="7" spans="1:5" x14ac:dyDescent="0.3">
      <c r="A7" s="2">
        <v>3</v>
      </c>
      <c r="B7" s="6" t="s">
        <v>65</v>
      </c>
      <c r="C7" s="2">
        <f>COUNTIF('Analisi E27 — CAIM'!$F$4:$F$66,"NON CONFORME")</f>
        <v>4</v>
      </c>
      <c r="D7" s="2">
        <f>COUNTIF('Analisi E27 — CAIM'!$F$4:$F$66,"CONFORME")+COUNTIF('Analisi E27 — CAIM'!$F$4:$F$66,"PARZIALMENTE CONFORME")+COUNTIF('Analisi E27 — CAIM'!$F$4:$F$66,"NON CONFORME")+COUNTIF('Analisi E27 — CAIM'!$F$4:$F$66,"DA VERIFICARE")+COUNTIF('Analisi E27 — CAIM'!$F$4:$F$66,"N/A")</f>
        <v>51</v>
      </c>
      <c r="E7" s="4">
        <f>IF(D7=0,"",C7/D7)</f>
        <v>7.8431372549019607E-2</v>
      </c>
    </row>
    <row r="8" spans="1:5" x14ac:dyDescent="0.3">
      <c r="A8" s="2">
        <v>4</v>
      </c>
      <c r="B8" s="5" t="s">
        <v>24</v>
      </c>
      <c r="C8" s="2">
        <f>COUNTIF('Analisi E27 — CAIM'!$F$4:$F$66,"DA VERIFICARE")</f>
        <v>21</v>
      </c>
      <c r="D8" s="2">
        <f>COUNTIF('Analisi E27 — CAIM'!$F$4:$F$66,"CONFORME")+COUNTIF('Analisi E27 — CAIM'!$F$4:$F$66,"PARZIALMENTE CONFORME")+COUNTIF('Analisi E27 — CAIM'!$F$4:$F$66,"NON CONFORME")+COUNTIF('Analisi E27 — CAIM'!$F$4:$F$66,"DA VERIFICARE")+COUNTIF('Analisi E27 — CAIM'!$F$4:$F$66,"N/A")</f>
        <v>51</v>
      </c>
      <c r="E8" s="4">
        <f>IF(D8=0,"",C8/D8)</f>
        <v>0.41176470588235292</v>
      </c>
    </row>
    <row r="9" spans="1:5" x14ac:dyDescent="0.3">
      <c r="A9" s="2">
        <v>5</v>
      </c>
      <c r="B9" s="7" t="s">
        <v>327</v>
      </c>
      <c r="C9" s="2">
        <f>COUNTIF('Analisi E27 — CAIM'!$F$4:$F$66,"N/A")</f>
        <v>0</v>
      </c>
      <c r="D9" s="2">
        <f>COUNTIF('Analisi E27 — CAIM'!$F$4:$F$66,"CONFORME")+COUNTIF('Analisi E27 — CAIM'!$F$4:$F$66,"PARZIALMENTE CONFORME")+COUNTIF('Analisi E27 — CAIM'!$F$4:$F$66,"NON CONFORME")+COUNTIF('Analisi E27 — CAIM'!$F$4:$F$66,"DA VERIFICARE")+COUNTIF('Analisi E27 — CAIM'!$F$4:$F$66,"N/A")</f>
        <v>51</v>
      </c>
      <c r="E9" s="4">
        <f>IF(D9=0,"",C9/D9)</f>
        <v>0</v>
      </c>
    </row>
    <row r="10" spans="1:5" ht="22.5" customHeight="1" x14ac:dyDescent="0.3">
      <c r="B10" s="8" t="s">
        <v>328</v>
      </c>
      <c r="C10" s="9">
        <f>SUM(C5:C9)</f>
        <v>51</v>
      </c>
    </row>
    <row r="12" spans="1:5" x14ac:dyDescent="0.3">
      <c r="A12" s="44" t="s">
        <v>329</v>
      </c>
      <c r="B12" s="42"/>
      <c r="C12" s="42"/>
      <c r="D12" s="42"/>
      <c r="E12" s="42"/>
    </row>
    <row r="13" spans="1:5" ht="22.5" customHeight="1" x14ac:dyDescent="0.3">
      <c r="A13" s="1" t="s">
        <v>330</v>
      </c>
      <c r="B13" s="1" t="s">
        <v>331</v>
      </c>
      <c r="C13" s="1" t="s">
        <v>7</v>
      </c>
      <c r="D13" s="1" t="s">
        <v>10</v>
      </c>
      <c r="E13" s="1" t="s">
        <v>9</v>
      </c>
    </row>
    <row r="14" spans="1:5" ht="22.5" customHeight="1" x14ac:dyDescent="0.3">
      <c r="A14" s="43" t="s">
        <v>332</v>
      </c>
      <c r="B14" s="42"/>
      <c r="C14" s="42"/>
      <c r="D14" s="42"/>
      <c r="E14" s="42"/>
    </row>
    <row r="15" spans="1:5" ht="30" customHeight="1" x14ac:dyDescent="0.3">
      <c r="A15" s="10" t="s">
        <v>333</v>
      </c>
      <c r="B15" s="11" t="str">
        <f>'Analisi E27 — CAIM'!B5</f>
        <v>Identificazione utente</v>
      </c>
      <c r="C15" s="12" t="str">
        <f>'Analisi E27 — CAIM'!F5</f>
        <v>PARZIALMENTE CONFORME</v>
      </c>
      <c r="D15" s="12" t="str">
        <f>'Analisi E27 — CAIM'!I5</f>
        <v>MEDIA</v>
      </c>
      <c r="E15" s="11" t="str">
        <f>'Analisi E27 — CAIM'!H5</f>
        <v>Richiedere a CAIM se il software supporta account individuali. Concordare con GNV la creazione di account individuali per ogni operatore che usa le postazioni NaviGate, con traccia degli accessi.</v>
      </c>
    </row>
    <row r="16" spans="1:5" ht="30" customHeight="1" x14ac:dyDescent="0.3">
      <c r="A16" s="10" t="s">
        <v>334</v>
      </c>
      <c r="B16" s="11" t="str">
        <f>'Analisi E27 — CAIM'!B6</f>
        <v>Gestione account</v>
      </c>
      <c r="C16" s="12" t="str">
        <f>'Analisi E27 — CAIM'!F6</f>
        <v>DA VERIFICARE</v>
      </c>
      <c r="D16" s="12" t="str">
        <f>'Analisi E27 — CAIM'!I6</f>
        <v>MEDIA</v>
      </c>
      <c r="E16" s="11" t="str">
        <f>'Analisi E27 — CAIM'!H6</f>
        <v>Richiedere a Dastech/GNV chi gestisce l'account Windows 'rt' sulle postazioni Altair (e sulle altre navi). Definire procedura di lifecycle.</v>
      </c>
    </row>
    <row r="17" spans="1:5" ht="30" customHeight="1" x14ac:dyDescent="0.3">
      <c r="A17" s="10" t="s">
        <v>335</v>
      </c>
      <c r="B17" s="11" t="str">
        <f>'Analisi E27 — CAIM'!B7</f>
        <v>Gestione ruoli</v>
      </c>
      <c r="C17" s="12" t="str">
        <f>'Analisi E27 — CAIM'!F7</f>
        <v>PARZIALMENTE CONFORME</v>
      </c>
      <c r="D17" s="12" t="str">
        <f>'Analisi E27 — CAIM'!I7</f>
        <v>BASSA</v>
      </c>
      <c r="E17" s="11" t="str">
        <f>'Analisi E27 — CAIM'!H7</f>
        <v>Richiedere a CAIM se esistono ruoli utente distinti nel software (es. read-only vs editor). Se no, prendere atto del limite.</v>
      </c>
    </row>
    <row r="18" spans="1:5" ht="30" customHeight="1" x14ac:dyDescent="0.3">
      <c r="A18" s="10" t="s">
        <v>336</v>
      </c>
      <c r="B18" s="11" t="str">
        <f>'Analisi E27 — CAIM'!B8</f>
        <v>Gestione credenziali</v>
      </c>
      <c r="C18" s="12" t="str">
        <f>'Analisi E27 — CAIM'!F8</f>
        <v>PARZIALMENTE CONFORME</v>
      </c>
      <c r="D18" s="12" t="str">
        <f>'Analisi E27 — CAIM'!I8</f>
        <v>ALTA</v>
      </c>
      <c r="E18" s="11" t="str">
        <f>'Analisi E27 — CAIM'!H8</f>
        <v>1) Verificare per ciascuna nave GNV che le credenziali di default NGBox e Mikrotik siano state cambiate al commissioning. 2) Richiedere a CAIM policy formale di change password obbligatorio al commissioning + meccanismo di conferma (es. ticket di installazione firmato). 3) Gestire centralmente le credenziali TeamViewer (se TeamViewer resta attivo) in un password manager GNV.</v>
      </c>
    </row>
    <row r="19" spans="1:5" ht="30" customHeight="1" x14ac:dyDescent="0.3">
      <c r="A19" s="10" t="s">
        <v>337</v>
      </c>
      <c r="B19" s="11" t="str">
        <f>'Analisi E27 — CAIM'!B9</f>
        <v>Accesso wireless</v>
      </c>
      <c r="C19" s="12" t="str">
        <f>'Analisi E27 — CAIM'!F9</f>
        <v>PARZIALMENTE CONFORME</v>
      </c>
      <c r="D19" s="12" t="str">
        <f>'Analisi E27 — CAIM'!I9</f>
        <v>MEDIA</v>
      </c>
      <c r="E19" s="11" t="str">
        <f>'Analisi E27 — CAIM'!H9</f>
        <v>Richiedere a CAIM/Dastech: (1) protocollo WiFi configurato (WPA2/WPA3), (2) complessità chiave, (3) isolamento della rete WiFi MikroTik rispetto alla Ship LAN, (4) se il WiFi è mai stato disabilitato su qualche nave dove l'NGLinq non è usato.</v>
      </c>
    </row>
    <row r="20" spans="1:5" ht="30" customHeight="1" x14ac:dyDescent="0.3">
      <c r="A20" s="10" t="s">
        <v>338</v>
      </c>
      <c r="B20" s="11" t="str">
        <f>'Analisi E27 — CAIM'!B10</f>
        <v>Robustezza password</v>
      </c>
      <c r="C20" s="12" t="str">
        <f>'Analisi E27 — CAIM'!F10</f>
        <v>PARZIALMENTE CONFORME</v>
      </c>
      <c r="D20" s="12" t="str">
        <f>'Analisi E27 — CAIM'!I10</f>
        <v>MEDIA</v>
      </c>
      <c r="E20" s="11" t="str">
        <f>'Analisi E27 — CAIM'!H10</f>
        <v>Richiedere a CAIM policy password formale. Applicare su GNV policy password robusta via GPO/locale per account Windows 'rt' e credenziali NGBox/Mikrotik post-commissioning.</v>
      </c>
    </row>
    <row r="21" spans="1:5" ht="30" customHeight="1" x14ac:dyDescent="0.3">
      <c r="A21" s="10" t="s">
        <v>339</v>
      </c>
      <c r="B21" s="11" t="str">
        <f>'Analisi E27 — CAIM'!B11</f>
        <v>Mascheratura password</v>
      </c>
      <c r="C21" s="12" t="str">
        <f>'Analisi E27 — CAIM'!F11</f>
        <v>CONFORME</v>
      </c>
      <c r="D21" s="12" t="str">
        <f>'Analisi E27 — CAIM'!I11</f>
        <v>BASSA</v>
      </c>
      <c r="E21" s="11" t="str">
        <f>'Analisi E27 — CAIM'!H11</f>
        <v>Verifica visiva durante visita bordo.</v>
      </c>
    </row>
    <row r="22" spans="1:5" ht="30" customHeight="1" x14ac:dyDescent="0.3">
      <c r="A22" s="10" t="s">
        <v>340</v>
      </c>
      <c r="B22" s="11" t="str">
        <f>'Analisi E27 — CAIM'!B13</f>
        <v>Minimo privilegio</v>
      </c>
      <c r="C22" s="12" t="str">
        <f>'Analisi E27 — CAIM'!F13</f>
        <v>NON CONFORME</v>
      </c>
      <c r="D22" s="12" t="str">
        <f>'Analisi E27 — CAIM'!I13</f>
        <v>ALTA</v>
      </c>
      <c r="E22" s="11" t="str">
        <f>'Analisi E27 — CAIM'!H13</f>
        <v>1) Richiedere a CAIM se esiste una modalità di esecuzione con privilegi ridotti (es. solo admin per installazione, utente standard per esecuzione). 2) Se il requisito Administrator è strutturale, formalizzare come finding e concordare compensating controls (application whitelisting, EDR, MFA login locale).</v>
      </c>
    </row>
    <row r="23" spans="1:5" ht="30" customHeight="1" x14ac:dyDescent="0.3">
      <c r="A23" s="10" t="s">
        <v>341</v>
      </c>
      <c r="B23" s="11" t="str">
        <f>'Analisi E27 — CAIM'!B14</f>
        <v>Controllo wireless</v>
      </c>
      <c r="C23" s="12" t="str">
        <f>'Analisi E27 — CAIM'!F14</f>
        <v>PARZIALMENTE CONFORME</v>
      </c>
      <c r="D23" s="12" t="str">
        <f>'Analisi E27 — CAIM'!I14</f>
        <v>MEDIA</v>
      </c>
      <c r="E23" s="11" t="str">
        <f>'Analisi E27 — CAIM'!H14</f>
        <v>Richiedere a CAIM/Dastech: policy sul WiFi MikroTik, logging degli accessi, meccanismi di authorization (es. MAC filtering NGLinq).</v>
      </c>
    </row>
    <row r="24" spans="1:5" ht="30" customHeight="1" x14ac:dyDescent="0.3">
      <c r="A24" s="10" t="s">
        <v>342</v>
      </c>
      <c r="B24" s="11" t="str">
        <f>'Analisi E27 — CAIM'!B15</f>
        <v>Dispositivi USB</v>
      </c>
      <c r="C24" s="12" t="str">
        <f>'Analisi E27 — CAIM'!F15</f>
        <v>NON CONFORME</v>
      </c>
      <c r="D24" s="12" t="str">
        <f>'Analisi E27 — CAIM'!I15</f>
        <v>ALTA</v>
      </c>
      <c r="E24" s="11" t="str">
        <f>'Analisi E27 — CAIM'!H15</f>
        <v>1) Richiedere a CAIM se NGLinq espone un device identifier univoco verificabile. 2) Applicare hardening USB su GNV (via GPO/EDR): whitelist NGLinq, blocco USB mass storage generico. 3) Policy operativa GNV: non usare pendrive per backup (usare cartelle di rete).</v>
      </c>
    </row>
    <row r="25" spans="1:5" ht="30" customHeight="1" x14ac:dyDescent="0.3">
      <c r="A25" s="10" t="s">
        <v>343</v>
      </c>
      <c r="B25" s="11" t="str">
        <f>'Analisi E27 — CAIM'!B16</f>
        <v>Mobile code</v>
      </c>
      <c r="C25" s="12" t="str">
        <f>'Analisi E27 — CAIM'!F16</f>
        <v>CONFORME</v>
      </c>
      <c r="D25" s="12" t="str">
        <f>'Analisi E27 — CAIM'!I16</f>
        <v>BASSA</v>
      </c>
      <c r="E25" s="11" t="str">
        <f>'Analisi E27 — CAIM'!H16</f>
        <v>Richiedere a CAIM conferma esplicita assenza di componenti web browser embedded o mobile code.</v>
      </c>
    </row>
    <row r="26" spans="1:5" ht="30" customHeight="1" x14ac:dyDescent="0.3">
      <c r="A26" s="10" t="s">
        <v>344</v>
      </c>
      <c r="B26" s="11" t="str">
        <f>'Analisi E27 — CAIM'!B17</f>
        <v>Blocco sessione</v>
      </c>
      <c r="C26" s="12" t="str">
        <f>'Analisi E27 — CAIM'!F17</f>
        <v>DA VERIFICARE</v>
      </c>
      <c r="D26" s="12" t="str">
        <f>'Analisi E27 — CAIM'!I17</f>
        <v>MEDIA</v>
      </c>
      <c r="E26" s="11" t="str">
        <f>'Analisi E27 — CAIM'!H17</f>
        <v>Richiedere a CAIM: timeout inattività NaviGate. Verificare con Dastech/GNV policy lock screen Windows su PC CAIM.</v>
      </c>
    </row>
    <row r="27" spans="1:5" ht="30" customHeight="1" x14ac:dyDescent="0.3">
      <c r="A27" s="10" t="s">
        <v>345</v>
      </c>
      <c r="B27" s="11" t="str">
        <f>'Analisi E27 — CAIM'!B18</f>
        <v>Log eventi sicurezza</v>
      </c>
      <c r="C27" s="12" t="str">
        <f>'Analisi E27 — CAIM'!F18</f>
        <v>DA VERIFICARE</v>
      </c>
      <c r="D27" s="12" t="str">
        <f>'Analisi E27 — CAIM'!I18</f>
        <v>MEDIA</v>
      </c>
      <c r="E27" s="11" t="str">
        <f>'Analisi E27 — CAIM'!H18</f>
        <v>Richiedere a CAIM: elenco eventi di sicurezza loggati da NaviGate e NGBox (login, logout, failed attempts, modifiche config, errori attivazione), formato, percorso storage, retention.</v>
      </c>
    </row>
    <row r="28" spans="1:5" ht="30" customHeight="1" x14ac:dyDescent="0.3">
      <c r="A28" s="10" t="s">
        <v>346</v>
      </c>
      <c r="B28" s="11" t="str">
        <f>'Analisi E27 — CAIM'!B19</f>
        <v>Spazio storage log</v>
      </c>
      <c r="C28" s="12" t="str">
        <f>'Analisi E27 — CAIM'!F19</f>
        <v>DA VERIFICARE</v>
      </c>
      <c r="D28" s="12" t="str">
        <f>'Analisi E27 — CAIM'!I19</f>
        <v>BASSA</v>
      </c>
      <c r="E28" s="11" t="str">
        <f>'Analisi E27 — CAIM'!H19</f>
        <v>Richiedere a CAIM.</v>
      </c>
    </row>
    <row r="29" spans="1:5" ht="30" customHeight="1" x14ac:dyDescent="0.3">
      <c r="A29" s="10" t="s">
        <v>347</v>
      </c>
      <c r="B29" s="11" t="str">
        <f>'Analisi E27 — CAIM'!B20</f>
        <v>Failure del logging</v>
      </c>
      <c r="C29" s="12" t="str">
        <f>'Analisi E27 — CAIM'!F20</f>
        <v>DA VERIFICARE</v>
      </c>
      <c r="D29" s="12" t="str">
        <f>'Analisi E27 — CAIM'!I20</f>
        <v>BASSA</v>
      </c>
      <c r="E29" s="11" t="str">
        <f>'Analisi E27 — CAIM'!H20</f>
        <v>Richiedere a CAIM.</v>
      </c>
    </row>
    <row r="30" spans="1:5" ht="30" customHeight="1" x14ac:dyDescent="0.3">
      <c r="A30" s="10" t="s">
        <v>348</v>
      </c>
      <c r="B30" s="11" t="str">
        <f>'Analisi E27 — CAIM'!B21</f>
        <v>Timestamp nei log</v>
      </c>
      <c r="C30" s="12" t="str">
        <f>'Analisi E27 — CAIM'!F21</f>
        <v>DA VERIFICARE</v>
      </c>
      <c r="D30" s="12" t="str">
        <f>'Analisi E27 — CAIM'!I21</f>
        <v>BASSA</v>
      </c>
      <c r="E30" s="11" t="str">
        <f>'Analisi E27 — CAIM'!H21</f>
        <v>Verificare con Dastech se i PC CAIM sincronizzano con NTP interno GNV.</v>
      </c>
    </row>
    <row r="31" spans="1:5" ht="30" customHeight="1" x14ac:dyDescent="0.3">
      <c r="A31" s="10" t="s">
        <v>349</v>
      </c>
      <c r="B31" s="11" t="str">
        <f>'Analisi E27 — CAIM'!B23</f>
        <v>Integrità comunicazioni</v>
      </c>
      <c r="C31" s="12" t="str">
        <f>'Analisi E27 — CAIM'!F23</f>
        <v>PARZIALMENTE CONFORME</v>
      </c>
      <c r="D31" s="12" t="str">
        <f>'Analisi E27 — CAIM'!I23</f>
        <v>ALTA</v>
      </c>
      <c r="E31" s="11" t="str">
        <f>'Analisi E27 — CAIM'!H23</f>
        <v>1) Verificare per ciascuna nave GNV che sia effettivamente in uso HTTPS e non il fallback HTTP. 2) Richiedere a CAIM integrità sugli aggiornamenti pubblicazioni scaricati via FTP (firma digitale, hash). 3) Formalizzare policy GNV: HTTP mai usato come fallback.</v>
      </c>
    </row>
    <row r="32" spans="1:5" ht="30" customHeight="1" x14ac:dyDescent="0.3">
      <c r="A32" s="10" t="s">
        <v>350</v>
      </c>
      <c r="B32" s="11" t="str">
        <f>'Analisi E27 — CAIM'!B24</f>
        <v>Protezione malware</v>
      </c>
      <c r="C32" s="12" t="str">
        <f>'Analisi E27 — CAIM'!F24</f>
        <v>DA VERIFICARE</v>
      </c>
      <c r="D32" s="12" t="str">
        <f>'Analisi E27 — CAIM'!I24</f>
        <v>ALTA</v>
      </c>
      <c r="E32" s="11" t="str">
        <f>'Analisi E27 — CAIM'!H24</f>
        <v>Richiedere a CAIM: antivirus/EDR supportati, eventuali esclusioni richieste per processi CAIM (NaviGate.exe, nGateway.exe, nGatewayManager.exe).</v>
      </c>
    </row>
    <row r="33" spans="1:5" ht="30" customHeight="1" x14ac:dyDescent="0.3">
      <c r="A33" s="10" t="s">
        <v>351</v>
      </c>
      <c r="B33" s="11" t="str">
        <f>'Analisi E27 — CAIM'!B25</f>
        <v>Test sicurezza</v>
      </c>
      <c r="C33" s="12" t="str">
        <f>'Analisi E27 — CAIM'!F25</f>
        <v>DA VERIFICARE</v>
      </c>
      <c r="D33" s="12" t="str">
        <f>'Analisi E27 — CAIM'!I25</f>
        <v>MEDIA</v>
      </c>
      <c r="E33" s="11" t="str">
        <f>'Analisi E27 — CAIM'!H25</f>
        <v>Richiedere a CAIM: evidenze di test di sicurezza, certificazioni RINA/DNV/BV. Pianificare FAT/SAT cyber per installazioni GNV.</v>
      </c>
    </row>
    <row r="34" spans="1:5" ht="30" customHeight="1" x14ac:dyDescent="0.3">
      <c r="A34" s="10" t="s">
        <v>352</v>
      </c>
      <c r="B34" s="11" t="str">
        <f>'Analisi E27 — CAIM'!B26</f>
        <v>Stato sicuro (fail-safe)</v>
      </c>
      <c r="C34" s="12" t="str">
        <f>'Analisi E27 — CAIM'!F26</f>
        <v>CONFORME</v>
      </c>
      <c r="D34" s="12" t="str">
        <f>'Analisi E27 — CAIM'!I26</f>
        <v>BASSA</v>
      </c>
      <c r="E34" s="11" t="str">
        <f>'Analisi E27 — CAIM'!H26</f>
        <v>Formalizzare procedura switch Master/Slave per equipaggio GNV.</v>
      </c>
    </row>
    <row r="35" spans="1:5" ht="30" customHeight="1" x14ac:dyDescent="0.3">
      <c r="A35" s="10" t="s">
        <v>353</v>
      </c>
      <c r="B35" s="11" t="str">
        <f>'Analisi E27 — CAIM'!B28</f>
        <v>Protezione dati</v>
      </c>
      <c r="C35" s="12" t="str">
        <f>'Analisi E27 — CAIM'!F28</f>
        <v>PARZIALMENTE CONFORME</v>
      </c>
      <c r="D35" s="12" t="str">
        <f>'Analisi E27 — CAIM'!I28</f>
        <v>MEDIA</v>
      </c>
      <c r="E35" s="11" t="str">
        <f>'Analisi E27 — CAIM'!H28</f>
        <v>Applicare su GNV cifratura disco (BitLocker) sulle postazioni NaviGate. Richiedere a CAIM se BitLocker è supportato/testato.</v>
      </c>
    </row>
    <row r="36" spans="1:5" ht="30" customHeight="1" x14ac:dyDescent="0.3">
      <c r="A36" s="10" t="s">
        <v>354</v>
      </c>
      <c r="B36" s="11" t="str">
        <f>'Analisi E27 — CAIM'!B29</f>
        <v>Crittografia</v>
      </c>
      <c r="C36" s="12" t="str">
        <f>'Analisi E27 — CAIM'!F29</f>
        <v>CONFORME</v>
      </c>
      <c r="D36" s="12" t="str">
        <f>'Analisi E27 — CAIM'!I29</f>
        <v>BASSA</v>
      </c>
      <c r="E36" s="11" t="str">
        <f>'Analisi E27 — CAIM'!H29</f>
        <v>Richiedere a CAIM: supporto TLS 1.3, suite di cifratura consigliate.</v>
      </c>
    </row>
    <row r="37" spans="1:5" ht="30" customHeight="1" x14ac:dyDescent="0.3">
      <c r="A37" s="10" t="s">
        <v>355</v>
      </c>
      <c r="B37" s="11" t="str">
        <f>'Analisi E27 — CAIM'!B31</f>
        <v>Accessibilità log audit</v>
      </c>
      <c r="C37" s="12" t="str">
        <f>'Analisi E27 — CAIM'!F31</f>
        <v>DA VERIFICARE</v>
      </c>
      <c r="D37" s="12" t="str">
        <f>'Analisi E27 — CAIM'!I31</f>
        <v>BASSA</v>
      </c>
      <c r="E37" s="11" t="str">
        <f>'Analisi E27 — CAIM'!H31</f>
        <v>Vedi item 13.</v>
      </c>
    </row>
    <row r="38" spans="1:5" ht="30" customHeight="1" x14ac:dyDescent="0.3">
      <c r="A38" s="10" t="s">
        <v>356</v>
      </c>
      <c r="B38" s="11" t="str">
        <f>'Analisi E27 — CAIM'!B33</f>
        <v>Protezione DoS</v>
      </c>
      <c r="C38" s="12" t="str">
        <f>'Analisi E27 — CAIM'!F33</f>
        <v>PARZIALMENTE CONFORME</v>
      </c>
      <c r="D38" s="12" t="str">
        <f>'Analisi E27 — CAIM'!I33</f>
        <v>BASSA</v>
      </c>
      <c r="E38" s="11" t="str">
        <f>'Analisi E27 — CAIM'!H33</f>
        <v>Richiedere a CAIM: comportamento NaviGate sotto DoS, resilienza MikroTik.</v>
      </c>
    </row>
    <row r="39" spans="1:5" ht="30" customHeight="1" x14ac:dyDescent="0.3">
      <c r="A39" s="10" t="s">
        <v>357</v>
      </c>
      <c r="B39" s="11" t="str">
        <f>'Analisi E27 — CAIM'!B34</f>
        <v>Gestione risorse</v>
      </c>
      <c r="C39" s="12" t="str">
        <f>'Analisi E27 — CAIM'!F34</f>
        <v>DA VERIFICARE</v>
      </c>
      <c r="D39" s="12" t="str">
        <f>'Analisi E27 — CAIM'!I34</f>
        <v>BASSA</v>
      </c>
      <c r="E39" s="11" t="str">
        <f>'Analisi E27 — CAIM'!H34</f>
        <v>Richiedere a CAIM.</v>
      </c>
    </row>
    <row r="40" spans="1:5" ht="30" customHeight="1" x14ac:dyDescent="0.3">
      <c r="A40" s="10" t="s">
        <v>358</v>
      </c>
      <c r="B40" s="11" t="str">
        <f>'Analisi E27 — CAIM'!B35</f>
        <v>Backup</v>
      </c>
      <c r="C40" s="12" t="str">
        <f>'Analisi E27 — CAIM'!F35</f>
        <v>PARZIALMENTE CONFORME</v>
      </c>
      <c r="D40" s="12" t="str">
        <f>'Analisi E27 — CAIM'!I35</f>
        <v>MEDIA</v>
      </c>
      <c r="E40" s="11" t="str">
        <f>'Analisi E27 — CAIM'!H35</f>
        <v>1) Definire policy GNV per frequenza e destinazione backup (non usare pendrive, usare cartella di rete dedicata). 2) Richiedere a CAIM se esiste scheduling automatico del backup.</v>
      </c>
    </row>
    <row r="41" spans="1:5" ht="30" customHeight="1" x14ac:dyDescent="0.3">
      <c r="A41" s="10" t="s">
        <v>359</v>
      </c>
      <c r="B41" s="11" t="str">
        <f>'Analisi E27 — CAIM'!B36</f>
        <v>Ripristino</v>
      </c>
      <c r="C41" s="12" t="str">
        <f>'Analisi E27 — CAIM'!F36</f>
        <v>CONFORME</v>
      </c>
      <c r="D41" s="12" t="str">
        <f>'Analisi E27 — CAIM'!I36</f>
        <v>BASSA</v>
      </c>
      <c r="E41" s="11" t="str">
        <f>'Analisi E27 — CAIM'!H36</f>
        <v>Definire RTO/RPO con CAIM e Dastech. Testare la procedura di recovery almeno una volta per nave.</v>
      </c>
    </row>
    <row r="42" spans="1:5" ht="30" customHeight="1" x14ac:dyDescent="0.3">
      <c r="A42" s="10" t="s">
        <v>360</v>
      </c>
      <c r="B42" s="11" t="str">
        <f>'Analisi E27 — CAIM'!B37</f>
        <v>Alimentazione emergenza</v>
      </c>
      <c r="C42" s="12" t="str">
        <f>'Analisi E27 — CAIM'!F37</f>
        <v>DA VERIFICARE</v>
      </c>
      <c r="D42" s="12" t="str">
        <f>'Analisi E27 — CAIM'!I37</f>
        <v>MEDIA</v>
      </c>
      <c r="E42" s="11" t="str">
        <f>'Analisi E27 — CAIM'!H37</f>
        <v>Verificare su Cable Diagram / durante visita bordo se le postazioni CAIM sono su UPS.</v>
      </c>
    </row>
    <row r="43" spans="1:5" ht="30" customHeight="1" x14ac:dyDescent="0.3">
      <c r="A43" s="10" t="s">
        <v>361</v>
      </c>
      <c r="B43" s="11" t="str">
        <f>'Analisi E27 — CAIM'!B38</f>
        <v>Configurazione rete</v>
      </c>
      <c r="C43" s="12" t="str">
        <f>'Analisi E27 — CAIM'!F38</f>
        <v>PARZIALMENTE CONFORME</v>
      </c>
      <c r="D43" s="12" t="str">
        <f>'Analisi E27 — CAIM'!I38</f>
        <v>ALTA</v>
      </c>
      <c r="E43" s="11" t="str">
        <f>'Analisi E27 — CAIM'!H38</f>
        <v>1) Chiarire con Dastech: su quale VLAN sono i PC NaviGate e il NGBox. 2) Definire chi gestisce il Mikrotik (CAIM? Dastech? GNV?). 3) Cambiare credenziali default MikroTik e documentare nuovo owner.</v>
      </c>
    </row>
    <row r="44" spans="1:5" ht="30" customHeight="1" x14ac:dyDescent="0.3">
      <c r="A44" s="10" t="s">
        <v>362</v>
      </c>
      <c r="B44" s="11" t="str">
        <f>'Analisi E27 — CAIM'!B39</f>
        <v>Hardening</v>
      </c>
      <c r="C44" s="12" t="str">
        <f>'Analisi E27 — CAIM'!F39</f>
        <v>PARZIALMENTE CONFORME</v>
      </c>
      <c r="D44" s="12" t="str">
        <f>'Analisi E27 — CAIM'!I39</f>
        <v>MEDIA</v>
      </c>
      <c r="E44" s="11" t="str">
        <f>'Analisi E27 — CAIM'!H39</f>
        <v>Richiedere a CAIM hardening guide formale completa (NaviGate + NGBox + Mikrotik). Applicare su GNV.</v>
      </c>
    </row>
    <row r="45" spans="1:5" ht="22.5" customHeight="1" x14ac:dyDescent="0.3">
      <c r="A45" s="43" t="s">
        <v>363</v>
      </c>
      <c r="B45" s="42"/>
      <c r="C45" s="42"/>
      <c r="D45" s="42"/>
      <c r="E45" s="42"/>
    </row>
    <row r="46" spans="1:5" ht="30" customHeight="1" x14ac:dyDescent="0.3">
      <c r="A46" s="10" t="s">
        <v>364</v>
      </c>
      <c r="B46" s="11" t="str">
        <f>'Analisi E27 — CAIM'!B42</f>
        <v>MFA per utenti umani</v>
      </c>
      <c r="C46" s="12" t="str">
        <f>'Analisi E27 — CAIM'!F42</f>
        <v>NON CONFORME</v>
      </c>
      <c r="D46" s="12" t="str">
        <f>'Analisi E27 — CAIM'!I42</f>
        <v>ALTA</v>
      </c>
      <c r="E46" s="11" t="str">
        <f>'Analisi E27 — CAIM'!H42</f>
        <v>1) Richiedere a CAIM: disponibilità MFA su TeamViewer (Business account con 2FA) e account CAIM Support. 2) Architetturalmente: forzare l'accesso remoto tramite jump server/PAM GNV con MFA (stesso tema Sertica/Danelec/NAPA).</v>
      </c>
    </row>
    <row r="47" spans="1:5" ht="30" customHeight="1" x14ac:dyDescent="0.3">
      <c r="A47" s="10" t="s">
        <v>365</v>
      </c>
      <c r="B47" s="11" t="str">
        <f>'Analisi E27 — CAIM'!B43</f>
        <v>Identificazione software e dispositivi</v>
      </c>
      <c r="C47" s="12" t="str">
        <f>'Analisi E27 — CAIM'!F43</f>
        <v>PARZIALMENTE CONFORME</v>
      </c>
      <c r="D47" s="12" t="str">
        <f>'Analisi E27 — CAIM'!I43</f>
        <v>MEDIA</v>
      </c>
      <c r="E47" s="11" t="str">
        <f>'Analisi E27 — CAIM'!H43</f>
        <v>Richiedere a CAIM: meccanismo di identificazione crittografica del client verso server (certificato, device token).</v>
      </c>
    </row>
    <row r="48" spans="1:5" ht="30" customHeight="1" x14ac:dyDescent="0.3">
      <c r="A48" s="10" t="s">
        <v>366</v>
      </c>
      <c r="B48" s="11" t="str">
        <f>'Analisi E27 — CAIM'!B44</f>
        <v>Blocco tentativi login falliti</v>
      </c>
      <c r="C48" s="12" t="str">
        <f>'Analisi E27 — CAIM'!F44</f>
        <v>DA VERIFICARE</v>
      </c>
      <c r="D48" s="12" t="str">
        <f>'Analisi E27 — CAIM'!I44</f>
        <v>MEDIA</v>
      </c>
      <c r="E48" s="11" t="str">
        <f>'Analisi E27 — CAIM'!H44</f>
        <v>Richiedere a CAIM policy di lockout. Verificare con GNV/Dastech GPO Windows applicate ai PC CAIM.</v>
      </c>
    </row>
    <row r="49" spans="1:5" ht="30" customHeight="1" x14ac:dyDescent="0.3">
      <c r="A49" s="10" t="s">
        <v>367</v>
      </c>
      <c r="B49" s="11" t="str">
        <f>'Analisi E27 — CAIM'!B45</f>
        <v>Banner avviso uso sistema</v>
      </c>
      <c r="C49" s="12" t="str">
        <f>'Analisi E27 — CAIM'!F45</f>
        <v>DA VERIFICARE</v>
      </c>
      <c r="D49" s="12" t="str">
        <f>'Analisi E27 — CAIM'!I45</f>
        <v>BASSA</v>
      </c>
      <c r="E49" s="11" t="str">
        <f>'Analisi E27 — CAIM'!H45</f>
        <v>Richiedere a CAIM configurazione banner. In alternativa, applicare banner Windows via GPO.</v>
      </c>
    </row>
    <row r="50" spans="1:5" ht="30" customHeight="1" x14ac:dyDescent="0.3">
      <c r="A50" s="10" t="s">
        <v>368</v>
      </c>
      <c r="B50" s="11" t="str">
        <f>'Analisi E27 — CAIM'!B46</f>
        <v>Accesso da reti untrusted</v>
      </c>
      <c r="C50" s="12" t="str">
        <f>'Analisi E27 — CAIM'!F46</f>
        <v>NON CONFORME</v>
      </c>
      <c r="D50" s="12" t="str">
        <f>'Analisi E27 — CAIM'!I46</f>
        <v>ALTA</v>
      </c>
      <c r="E50" s="11" t="str">
        <f>'Analisi E27 — CAIM'!H46</f>
        <v>1) Rilievo formale a GNV: presenza di TeamViewer pre-installato. Opzioni di mitigazione: (a) disinstallare TeamViewer e forzare accesso CAIM via jump server GNV su richiesta, (b) mantenere TeamViewer ma con account GNV-managed (non CAIM) + MFA + logging. 2) Richiedere a CAIM documento formale di accesso remoto (chi accede, quando, con quale autorizzazione).</v>
      </c>
    </row>
    <row r="51" spans="1:5" ht="30" customHeight="1" x14ac:dyDescent="0.3">
      <c r="A51" s="10" t="s">
        <v>369</v>
      </c>
      <c r="B51" s="11" t="str">
        <f>'Analisi E27 — CAIM'!B47</f>
        <v>Approvazione esplicita accessi</v>
      </c>
      <c r="C51" s="12" t="str">
        <f>'Analisi E27 — CAIM'!F47</f>
        <v>PARZIALMENTE CONFORME</v>
      </c>
      <c r="D51" s="12" t="str">
        <f>'Analisi E27 — CAIM'!I47</f>
        <v>ALTA</v>
      </c>
      <c r="E51" s="11" t="str">
        <f>'Analisi E27 — CAIM'!H47</f>
        <v>Definire processo GNV: richieste di accesso remoto CAIM devono essere notificate e approvate da riferimento tecnico GNV prima che l'equipaggio accetti.</v>
      </c>
    </row>
    <row r="52" spans="1:5" ht="30" customHeight="1" x14ac:dyDescent="0.3">
      <c r="A52" s="10" t="s">
        <v>370</v>
      </c>
      <c r="B52" s="11" t="str">
        <f>'Analisi E27 — CAIM'!B49</f>
        <v>Terminazione sessione remota</v>
      </c>
      <c r="C52" s="12" t="str">
        <f>'Analisi E27 — CAIM'!F49</f>
        <v>DA VERIFICARE</v>
      </c>
      <c r="D52" s="12" t="str">
        <f>'Analisi E27 — CAIM'!I49</f>
        <v>MEDIA</v>
      </c>
      <c r="E52" s="11" t="str">
        <f>'Analisi E27 — CAIM'!H49</f>
        <v>Richiedere a CAIM configurazione timeout TeamViewer. Se disinstallato (vedi item 35), il controllo decade.</v>
      </c>
    </row>
    <row r="53" spans="1:5" ht="30" customHeight="1" x14ac:dyDescent="0.3">
      <c r="A53" s="10" t="s">
        <v>371</v>
      </c>
      <c r="B53" s="11" t="str">
        <f>'Analisi E27 — CAIM'!B51</f>
        <v>Integrità crittografica comunicazioni</v>
      </c>
      <c r="C53" s="12" t="str">
        <f>'Analisi E27 — CAIM'!F51</f>
        <v>PARZIALMENTE CONFORME</v>
      </c>
      <c r="D53" s="12" t="str">
        <f>'Analisi E27 — CAIM'!I51</f>
        <v>ALTA</v>
      </c>
      <c r="E53" s="11" t="str">
        <f>'Analisi E27 — CAIM'!H51</f>
        <v>1) Eliminare HTTP fallback su ciascuna nave GNV. 2) Richiedere a CAIM/UKHO migrazione a SFTP/FTPS per e-NP. 3) Integrità via firma digitale dei file scaricati (richiedere se esiste).</v>
      </c>
    </row>
    <row r="54" spans="1:5" ht="30" customHeight="1" x14ac:dyDescent="0.3">
      <c r="A54" s="10" t="s">
        <v>372</v>
      </c>
      <c r="B54" s="11" t="str">
        <f>'Analisi E27 — CAIM'!B52</f>
        <v>Validazione input</v>
      </c>
      <c r="C54" s="12" t="str">
        <f>'Analisi E27 — CAIM'!F52</f>
        <v>DA VERIFICARE</v>
      </c>
      <c r="D54" s="12" t="str">
        <f>'Analisi E27 — CAIM'!I52</f>
        <v>MEDIA</v>
      </c>
      <c r="E54" s="11" t="str">
        <f>'Analisi E27 — CAIM'!H52</f>
        <v>Richiedere a CAIM.</v>
      </c>
    </row>
    <row r="55" spans="1:5" ht="30" customHeight="1" x14ac:dyDescent="0.3">
      <c r="A55" s="10" t="s">
        <v>373</v>
      </c>
      <c r="B55" s="11" t="str">
        <f>'Analisi E27 — CAIM'!B53</f>
        <v>Integrità sessione</v>
      </c>
      <c r="C55" s="12" t="str">
        <f>'Analisi E27 — CAIM'!F53</f>
        <v>DA VERIFICARE</v>
      </c>
      <c r="D55" s="12" t="str">
        <f>'Analisi E27 — CAIM'!I53</f>
        <v>MEDIA</v>
      </c>
      <c r="E55" s="11" t="str">
        <f>'Analisi E27 — CAIM'!H53</f>
        <v>Richiedere a CAIM.</v>
      </c>
    </row>
    <row r="56" spans="1:5" ht="30" customHeight="1" x14ac:dyDescent="0.3">
      <c r="A56" s="10" t="s">
        <v>374</v>
      </c>
      <c r="B56" s="11" t="str">
        <f>'Analisi E27 — CAIM'!B54</f>
        <v>Invalidazione ID sessione al logout</v>
      </c>
      <c r="C56" s="12" t="str">
        <f>'Analisi E27 — CAIM'!F54</f>
        <v>DA VERIFICARE</v>
      </c>
      <c r="D56" s="12" t="str">
        <f>'Analisi E27 — CAIM'!I54</f>
        <v>MEDIA</v>
      </c>
      <c r="E56" s="11" t="str">
        <f>'Analisi E27 — CAIM'!H54</f>
        <v>Richiedere a CAIM.</v>
      </c>
    </row>
    <row r="57" spans="1:5" ht="22.5" customHeight="1" x14ac:dyDescent="0.3">
      <c r="A57" s="43" t="s">
        <v>375</v>
      </c>
      <c r="B57" s="42"/>
      <c r="C57" s="42"/>
      <c r="D57" s="42"/>
      <c r="E57" s="42"/>
    </row>
    <row r="58" spans="1:5" ht="30" customHeight="1" x14ac:dyDescent="0.3">
      <c r="A58" s="10" t="s">
        <v>257</v>
      </c>
      <c r="B58" s="11" t="str">
        <f>'Analisi E27 — CAIM'!B56</f>
        <v>CBS Asset inventory</v>
      </c>
      <c r="C58" s="12" t="str">
        <f>'Analisi E27 — CAIM'!F56</f>
        <v>PARZIALMENTE CONFORME</v>
      </c>
      <c r="D58" s="12" t="str">
        <f>'Analisi E27 — CAIM'!I56</f>
        <v>MEDIA</v>
      </c>
      <c r="E58" s="11" t="str">
        <f>'Analisi E27 — CAIM'!H56</f>
        <v>Richiedere a CAIM: asset inventory per nave GNV (con hostname, IP, versione software, versione firmware), SBOM formale (CycloneDX o SPDX).</v>
      </c>
    </row>
    <row r="59" spans="1:5" ht="30" customHeight="1" x14ac:dyDescent="0.3">
      <c r="A59" s="10" t="s">
        <v>264</v>
      </c>
      <c r="B59" s="11" t="str">
        <f>'Analisi E27 — CAIM'!B57</f>
        <v>Management of change plan</v>
      </c>
      <c r="C59" s="12" t="str">
        <f>'Analisi E27 — CAIM'!F57</f>
        <v>DA VERIFICARE</v>
      </c>
      <c r="D59" s="12" t="str">
        <f>'Analisi E27 — CAIM'!I57</f>
        <v>MEDIA</v>
      </c>
      <c r="E59" s="11" t="str">
        <f>'Analisi E27 — CAIM'!H57</f>
        <v>Richiedere a CAIM procedura di change management.</v>
      </c>
    </row>
    <row r="60" spans="1:5" ht="30" customHeight="1" x14ac:dyDescent="0.3">
      <c r="A60" s="10" t="s">
        <v>270</v>
      </c>
      <c r="B60" s="11" t="str">
        <f>'Analisi E27 — CAIM'!B58</f>
        <v>Test reports</v>
      </c>
      <c r="C60" s="12" t="str">
        <f>'Analisi E27 — CAIM'!F58</f>
        <v>DA VERIFICARE</v>
      </c>
      <c r="D60" s="12" t="str">
        <f>'Analisi E27 — CAIM'!I58</f>
        <v>MEDIA</v>
      </c>
      <c r="E60" s="11" t="str">
        <f>'Analisi E27 — CAIM'!H58</f>
        <v>Richiedere a CAIM evidenze test di sicurezza. Pianificare FAT/SAT cyber per installazioni GNV.</v>
      </c>
    </row>
    <row r="61" spans="1:5" ht="22.5" customHeight="1" x14ac:dyDescent="0.3">
      <c r="A61" s="43" t="s">
        <v>376</v>
      </c>
      <c r="B61" s="42"/>
      <c r="C61" s="42"/>
      <c r="D61" s="42"/>
      <c r="E61" s="42"/>
    </row>
    <row r="62" spans="1:5" ht="30" customHeight="1" x14ac:dyDescent="0.3">
      <c r="A62" s="10" t="s">
        <v>277</v>
      </c>
      <c r="B62" s="11" t="str">
        <f>'Analisi E27 — CAIM'!B60</f>
        <v>Controllo chiavi private</v>
      </c>
      <c r="C62" s="12" t="str">
        <f>'Analisi E27 — CAIM'!F60</f>
        <v>DA VERIFICARE</v>
      </c>
      <c r="D62" s="12" t="str">
        <f>'Analisi E27 — CAIM'!I60</f>
        <v>MEDIA</v>
      </c>
      <c r="E62" s="11" t="str">
        <f>'Analisi E27 — CAIM'!H60</f>
        <v>Richiedere a CAIM dichiarazione su protezione chiavi private.</v>
      </c>
    </row>
    <row r="63" spans="1:5" ht="30" customHeight="1" x14ac:dyDescent="0.3">
      <c r="A63" s="10" t="s">
        <v>282</v>
      </c>
      <c r="B63" s="11" t="str">
        <f>'Analisi E27 — CAIM'!B61</f>
        <v>Documentazione aggiornamenti sicurezza</v>
      </c>
      <c r="C63" s="12" t="str">
        <f>'Analisi E27 — CAIM'!F61</f>
        <v>DA VERIFICARE</v>
      </c>
      <c r="D63" s="12" t="str">
        <f>'Analisi E27 — CAIM'!I61</f>
        <v>MEDIA</v>
      </c>
      <c r="E63" s="11" t="str">
        <f>'Analisi E27 — CAIM'!H61</f>
        <v>Richiedere a CAIM processo di comunicazione patch di sicurezza (release note, bollettini).</v>
      </c>
    </row>
    <row r="64" spans="1:5" ht="30" customHeight="1" x14ac:dyDescent="0.3">
      <c r="A64" s="10" t="s">
        <v>289</v>
      </c>
      <c r="B64" s="11" t="str">
        <f>'Analisi E27 — CAIM'!B62</f>
        <v>Aggiornamenti componenti dipendenti</v>
      </c>
      <c r="C64" s="12" t="str">
        <f>'Analisi E27 — CAIM'!F62</f>
        <v>PARZIALMENTE CONFORME</v>
      </c>
      <c r="D64" s="12" t="str">
        <f>'Analisi E27 — CAIM'!I62</f>
        <v>MEDIA</v>
      </c>
      <c r="E64" s="11" t="str">
        <f>'Analisi E27 — CAIM'!H62</f>
        <v>Richiedere a CAIM SBOM formale + policy aggiornamento componenti terzi.</v>
      </c>
    </row>
    <row r="65" spans="1:5" ht="30" customHeight="1" x14ac:dyDescent="0.3">
      <c r="A65" s="10" t="s">
        <v>295</v>
      </c>
      <c r="B65" s="11" t="str">
        <f>'Analisi E27 — CAIM'!B63</f>
        <v>Distribuzione aggiornamenti sicurezza</v>
      </c>
      <c r="C65" s="12" t="str">
        <f>'Analisi E27 — CAIM'!F63</f>
        <v>PARZIALMENTE CONFORME</v>
      </c>
      <c r="D65" s="12" t="str">
        <f>'Analisi E27 — CAIM'!I63</f>
        <v>ALTA</v>
      </c>
      <c r="E65" s="11" t="str">
        <f>'Analisi E27 — CAIM'!H63</f>
        <v>1) Richiedere a CAIM meccanismo di verifica integrità aggiornamenti pubblicazioni (firma, hash). 2) Verificare se gli installer CAIM sono firmati digitalmente.</v>
      </c>
    </row>
    <row r="66" spans="1:5" ht="30" customHeight="1" x14ac:dyDescent="0.3">
      <c r="A66" s="10" t="s">
        <v>302</v>
      </c>
      <c r="B66" s="11" t="str">
        <f>'Analisi E27 — CAIM'!B64</f>
        <v>Defence in depth del prodotto</v>
      </c>
      <c r="C66" s="12" t="str">
        <f>'Analisi E27 — CAIM'!F64</f>
        <v>PARZIALMENTE CONFORME</v>
      </c>
      <c r="D66" s="12" t="str">
        <f>'Analisi E27 — CAIM'!I64</f>
        <v>MEDIA</v>
      </c>
      <c r="E66" s="11" t="str">
        <f>'Analisi E27 — CAIM'!H64</f>
        <v>Richiedere a CAIM documento strategia defence in depth.</v>
      </c>
    </row>
    <row r="67" spans="1:5" ht="30" customHeight="1" x14ac:dyDescent="0.3">
      <c r="A67" s="10" t="s">
        <v>309</v>
      </c>
      <c r="B67" s="11" t="str">
        <f>'Analisi E27 — CAIM'!B65</f>
        <v>Defence in depth ambiente esterno</v>
      </c>
      <c r="C67" s="12" t="str">
        <f>'Analisi E27 — CAIM'!F65</f>
        <v>CONFORME</v>
      </c>
      <c r="D67" s="12" t="str">
        <f>'Analisi E27 — CAIM'!I65</f>
        <v>BASSA</v>
      </c>
      <c r="E67" s="11" t="str">
        <f>'Analisi E27 — CAIM'!H65</f>
        <v>Mappare i requisiti CAIM contro l'ambiente GNV reale per confermare che siano tutti soddisfatti.</v>
      </c>
    </row>
    <row r="68" spans="1:5" ht="30" customHeight="1" x14ac:dyDescent="0.3">
      <c r="A68" s="10" t="s">
        <v>316</v>
      </c>
      <c r="B68" s="11" t="str">
        <f>'Analisi E27 — CAIM'!B66</f>
        <v>Hardening guidelines</v>
      </c>
      <c r="C68" s="12" t="str">
        <f>'Analisi E27 — CAIM'!F66</f>
        <v>PARZIALMENTE CONFORME</v>
      </c>
      <c r="D68" s="12" t="str">
        <f>'Analisi E27 — CAIM'!I66</f>
        <v>MEDIA</v>
      </c>
      <c r="E68" s="11" t="str">
        <f>'Analisi E27 — CAIM'!H66</f>
        <v>Richiedere a CAIM hardening guide security-oriented (non solo operativa).</v>
      </c>
    </row>
  </sheetData>
  <mergeCells count="7">
    <mergeCell ref="A1:E1"/>
    <mergeCell ref="A14:E14"/>
    <mergeCell ref="A61:E61"/>
    <mergeCell ref="A3:E3"/>
    <mergeCell ref="A12:E12"/>
    <mergeCell ref="A57:E57"/>
    <mergeCell ref="A45:E45"/>
  </mergeCells>
  <conditionalFormatting sqref="C14:C68">
    <cfRule type="cellIs" dxfId="4" priority="1" operator="equal">
      <formula>"CONFORME"</formula>
    </cfRule>
    <cfRule type="cellIs" dxfId="3" priority="2" operator="equal">
      <formula>"PARZIALMENTE CONFORME"</formula>
    </cfRule>
    <cfRule type="cellIs" dxfId="2" priority="3" operator="equal">
      <formula>"NON CONFORME"</formula>
    </cfRule>
    <cfRule type="cellIs" dxfId="1" priority="4" operator="equal">
      <formula>"DA VERIFICARE"</formula>
    </cfRule>
    <cfRule type="cellIs" dxfId="0" priority="5" operator="equal">
      <formula>"N/A"</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9A4A7-9BAA-4876-B41B-BE3EDD0CCB73}">
  <dimension ref="A1:C9"/>
  <sheetViews>
    <sheetView topLeftCell="A7" workbookViewId="0">
      <selection activeCell="A9" sqref="A9"/>
    </sheetView>
  </sheetViews>
  <sheetFormatPr defaultColWidth="47.21875" defaultRowHeight="14.4" x14ac:dyDescent="0.3"/>
  <cols>
    <col min="1" max="1" width="45.109375" customWidth="1"/>
    <col min="2" max="2" width="59.33203125" customWidth="1"/>
    <col min="3" max="3" width="102.77734375" customWidth="1"/>
  </cols>
  <sheetData>
    <row r="1" spans="1:3" ht="31.95" customHeight="1" x14ac:dyDescent="0.3">
      <c r="A1" s="45" t="s">
        <v>377</v>
      </c>
      <c r="B1" s="42"/>
      <c r="C1" s="42"/>
    </row>
    <row r="4" spans="1:3" ht="22.05" customHeight="1" x14ac:dyDescent="0.3">
      <c r="A4" s="44" t="s">
        <v>378</v>
      </c>
      <c r="B4" s="42"/>
      <c r="C4" s="42"/>
    </row>
    <row r="5" spans="1:3" ht="22.05" customHeight="1" x14ac:dyDescent="0.3">
      <c r="A5" s="1" t="s">
        <v>7</v>
      </c>
      <c r="B5" s="1" t="s">
        <v>379</v>
      </c>
      <c r="C5" s="1" t="s">
        <v>380</v>
      </c>
    </row>
    <row r="6" spans="1:3" ht="165" customHeight="1" x14ac:dyDescent="0.3">
      <c r="A6" s="30" t="s">
        <v>57</v>
      </c>
      <c r="B6" s="31" t="s">
        <v>381</v>
      </c>
      <c r="C6" s="31" t="s">
        <v>382</v>
      </c>
    </row>
    <row r="7" spans="1:3" ht="165" customHeight="1" x14ac:dyDescent="0.3">
      <c r="A7" s="32" t="s">
        <v>16</v>
      </c>
      <c r="B7" s="31" t="s">
        <v>383</v>
      </c>
      <c r="C7" s="31" t="s">
        <v>384</v>
      </c>
    </row>
    <row r="8" spans="1:3" ht="165" customHeight="1" x14ac:dyDescent="0.3">
      <c r="A8" s="33" t="s">
        <v>65</v>
      </c>
      <c r="B8" s="31" t="s">
        <v>385</v>
      </c>
      <c r="C8" s="31" t="s">
        <v>386</v>
      </c>
    </row>
    <row r="9" spans="1:3" ht="165" customHeight="1" x14ac:dyDescent="0.3">
      <c r="A9" s="34" t="s">
        <v>24</v>
      </c>
      <c r="B9" s="31" t="s">
        <v>387</v>
      </c>
      <c r="C9" s="31" t="s">
        <v>388</v>
      </c>
    </row>
  </sheetData>
  <mergeCells count="2">
    <mergeCell ref="A1:C1"/>
    <mergeCell ref="A4:C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339397-dfd8-4f6a-9018-3414231c0558">
      <Terms xmlns="http://schemas.microsoft.com/office/infopath/2007/PartnerControls"/>
    </lcf76f155ced4ddcb4097134ff3c332f>
    <TaxCatchAll xmlns="c01ea0eb-f327-4c11-8230-b0d01411b14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967BE5479C3A24CBFFEEC48DA41ED37" ma:contentTypeVersion="12" ma:contentTypeDescription="Creare un nuovo documento." ma:contentTypeScope="" ma:versionID="9e5920ca9a3b21e923e9999a6d252a42">
  <xsd:schema xmlns:xsd="http://www.w3.org/2001/XMLSchema" xmlns:xs="http://www.w3.org/2001/XMLSchema" xmlns:p="http://schemas.microsoft.com/office/2006/metadata/properties" xmlns:ns2="07339397-dfd8-4f6a-9018-3414231c0558" xmlns:ns3="c01ea0eb-f327-4c11-8230-b0d01411b14c" targetNamespace="http://schemas.microsoft.com/office/2006/metadata/properties" ma:root="true" ma:fieldsID="3f129db6dd45dd573cf017330b5e25ac" ns2:_="" ns3:_="">
    <xsd:import namespace="07339397-dfd8-4f6a-9018-3414231c0558"/>
    <xsd:import namespace="c01ea0eb-f327-4c11-8230-b0d01411b1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339397-dfd8-4f6a-9018-3414231c05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ag immagine" ma:readOnly="false" ma:fieldId="{5cf76f15-5ced-4ddc-b409-7134ff3c332f}" ma:taxonomyMulti="true" ma:sspId="458e2375-a45b-4e14-a573-91403717fc0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01ea0eb-f327-4c11-8230-b0d01411b14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65362e9-a87a-4451-9ec2-dcb4df751b26}" ma:internalName="TaxCatchAll" ma:showField="CatchAllData" ma:web="c01ea0eb-f327-4c11-8230-b0d01411b1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811F82-4068-4E9C-B325-C8EC34CDBC5A}">
  <ds:schemaRefs>
    <ds:schemaRef ds:uri="http://schemas.microsoft.com/office/2006/metadata/properties"/>
    <ds:schemaRef ds:uri="http://schemas.microsoft.com/office/infopath/2007/PartnerControls"/>
    <ds:schemaRef ds:uri="07339397-dfd8-4f6a-9018-3414231c0558"/>
    <ds:schemaRef ds:uri="c01ea0eb-f327-4c11-8230-b0d01411b14c"/>
  </ds:schemaRefs>
</ds:datastoreItem>
</file>

<file path=customXml/itemProps2.xml><?xml version="1.0" encoding="utf-8"?>
<ds:datastoreItem xmlns:ds="http://schemas.openxmlformats.org/officeDocument/2006/customXml" ds:itemID="{5B1FA370-DD9B-4320-AD8B-DD542663B45A}">
  <ds:schemaRefs>
    <ds:schemaRef ds:uri="http://schemas.microsoft.com/sharepoint/v3/contenttype/forms"/>
  </ds:schemaRefs>
</ds:datastoreItem>
</file>

<file path=customXml/itemProps3.xml><?xml version="1.0" encoding="utf-8"?>
<ds:datastoreItem xmlns:ds="http://schemas.openxmlformats.org/officeDocument/2006/customXml" ds:itemID="{6B75C560-85AB-48E6-BFB1-E8BE61E359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339397-dfd8-4f6a-9018-3414231c0558"/>
    <ds:schemaRef ds:uri="c01ea0eb-f327-4c11-8230-b0d01411b1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Analisi E27 — CAIM</vt:lpstr>
      <vt:lpstr>Riepilogo</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Analisi E27 CAIM</dc:title>
  <dc:creator>moustafa.ali@hwgsababa.com</dc:creator>
  <cp:keywords>E27 CAIM</cp:keywords>
  <cp:lastModifiedBy>Moustafa Ali - HWG Sababa</cp:lastModifiedBy>
  <dcterms:created xsi:type="dcterms:W3CDTF">2026-04-23T15:43:30Z</dcterms:created>
  <dcterms:modified xsi:type="dcterms:W3CDTF">2026-04-27T21:24:40Z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0x0101005967BE5479C3A24CBFFEEC48DA41ED37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