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stafa.ali\Downloads\"/>
    </mc:Choice>
  </mc:AlternateContent>
  <xr:revisionPtr revIDLastSave="0" documentId="13_ncr:1_{4E166EF3-6294-47FB-B3D4-0818C59FCB64}" xr6:coauthVersionLast="47" xr6:coauthVersionMax="47" xr10:uidLastSave="{00000000-0000-0000-0000-000000000000}"/>
  <bookViews>
    <workbookView xWindow="744" yWindow="96" windowWidth="20916" windowHeight="13680" xr2:uid="{00000000-000D-0000-FFFF-FFFF00000000}"/>
  </bookViews>
  <sheets>
    <sheet name="Analisi E27 — MAN" sheetId="1" r:id="rId1"/>
    <sheet name="Riepilogo"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8" i="3" l="1"/>
  <c r="D68" i="3"/>
  <c r="C68" i="3"/>
  <c r="B68" i="3"/>
  <c r="E67" i="3"/>
  <c r="D67" i="3"/>
  <c r="C67" i="3"/>
  <c r="B67" i="3"/>
  <c r="E66" i="3"/>
  <c r="D66" i="3"/>
  <c r="C66" i="3"/>
  <c r="B66" i="3"/>
  <c r="E65" i="3"/>
  <c r="D65" i="3"/>
  <c r="C65" i="3"/>
  <c r="B65" i="3"/>
  <c r="E64" i="3"/>
  <c r="D64" i="3"/>
  <c r="C64" i="3"/>
  <c r="B64" i="3"/>
  <c r="E63" i="3"/>
  <c r="D63" i="3"/>
  <c r="C63" i="3"/>
  <c r="B63" i="3"/>
  <c r="E62" i="3"/>
  <c r="D62" i="3"/>
  <c r="C62" i="3"/>
  <c r="B62" i="3"/>
  <c r="E60" i="3"/>
  <c r="D60" i="3"/>
  <c r="C60" i="3"/>
  <c r="B60" i="3"/>
  <c r="E59" i="3"/>
  <c r="D59" i="3"/>
  <c r="C59" i="3"/>
  <c r="B59" i="3"/>
  <c r="E58" i="3"/>
  <c r="D58" i="3"/>
  <c r="C58" i="3"/>
  <c r="B58"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E17" i="3"/>
  <c r="D17" i="3"/>
  <c r="C17" i="3"/>
  <c r="B17" i="3"/>
  <c r="E16" i="3"/>
  <c r="D16" i="3"/>
  <c r="C16" i="3"/>
  <c r="B16" i="3"/>
  <c r="E15" i="3"/>
  <c r="D15" i="3"/>
  <c r="C15" i="3"/>
  <c r="B15" i="3"/>
  <c r="D10" i="3"/>
  <c r="D9" i="3"/>
  <c r="E9" i="3" s="1"/>
  <c r="C9" i="3"/>
  <c r="D8" i="3"/>
  <c r="E8" i="3" s="1"/>
  <c r="C8" i="3"/>
  <c r="D7" i="3"/>
  <c r="E7" i="3" s="1"/>
  <c r="C7" i="3"/>
  <c r="D6" i="3"/>
  <c r="E6" i="3" s="1"/>
  <c r="C6" i="3"/>
  <c r="D5" i="3"/>
  <c r="E5" i="3" s="1"/>
  <c r="C5" i="3"/>
  <c r="C10" i="3" s="1"/>
</calcChain>
</file>

<file path=xl/sharedStrings.xml><?xml version="1.0" encoding="utf-8"?>
<sst xmlns="http://schemas.openxmlformats.org/spreadsheetml/2006/main" count="515" uniqueCount="398">
  <si>
    <t>Analisi IACS UR E27 (sez. 4.1 + 4.2 + sez. 3 + sez. 5 SDLC) — MAN Energy Solutions / Everllence (sistema PrimeServ Assist + CEON) — GNV</t>
  </si>
  <si>
    <t>#</t>
  </si>
  <si>
    <t>Controllo E27</t>
  </si>
  <si>
    <t>Rif. IEC</t>
  </si>
  <si>
    <t>Cosa sappiamo</t>
  </si>
  <si>
    <t>Da dove viene l'informazione</t>
  </si>
  <si>
    <t>Stato</t>
  </si>
  <si>
    <t>Cosa manca / criticità</t>
  </si>
  <si>
    <t>Cosa fare</t>
  </si>
  <si>
    <t>Priorità</t>
  </si>
  <si>
    <t>FR1 — Identificazione e autenticazione</t>
  </si>
  <si>
    <t>Identificazione utente</t>
  </si>
  <si>
    <t>SR 1.1</t>
  </si>
  <si>
    <t>MAN-CEON usa metodi di autenticazione robusti per restringere l'accesso ai dispositivi solo a utenti autorizzati (Security FAQ_v3.docx, sez. 'How does MAN-ES ensure that data access is protected from unauthorized access'). MFA implementata per utenti umani sulla piattaforma cloud CEON. Asset-based Access Control con segmentazione e need-to-know (CEON-Security.png punto 8). Asset and User On-boarding con processi formali documentati (CEON-Security.png punto 9). L'ATU (Linux/Windows-based) sul sito cliente espone interfaccia management; identificazione utenti gestita via piattaforma CEON.
DA POLICY MAN ES 13.1 sez. 5 (Information Security): 'All systems connected to the MAN ES network (internal network) must be authenticated via secure, verifiable connections. Secure authentication procedures shall be used.' L'autenticazione è obbligatoria per tutti i sistemi connessi alla rete MAN; per i sistemi cliente come l'ATU CEON sulla nave GNV vale lo stesso principio.
DA POLICY MAN ES 13.1 Articolo 16 'Management of authorizations and passwords' punto (2): 'A formal procedure shall be established for the registration and de-registration of users. Registrations and de-registrations carried out shall be documented in auditable form'. Articolo 18 punto (8): 'All access to systems containing sensitive data or functions shall be safeguarded with access control where the identity of the user is determined'. Identificazione utente obbligatoria a livello policy MAN su tutti i sistemi sensibili.</t>
  </si>
  <si>
    <t>Security FAQ_v3.docx (sez. Data access protection)
CEON-Security.png punti 8-9
Architecture.png
(standard) MAN ES_13.1_en_Instruction_1.pdf (Group Policy Information Security, applicable as of 01/03/2023), sez. 5 punto (8)
(standard) MAN ES_13.1_en_Instruction_1.pdf, Art. 16 punto (2), Art. 18 punto (8)</t>
  </si>
  <si>
    <t>CONFORME</t>
  </si>
  <si>
    <t>Identificazione utente coperta multi-livello: MFA confermata su CEON cloud (Whistic IAM-14.1) + procedura formale di registration/de-registration utenti documentabile (MAN ES 13.1 Art. 16 punto 2) + obbligo accesso autenticato a tutti i sistemi sensibili (Art. 18 punto 8) + requisito strong authentication su tutta la rete MAN (Art. 13 punto 8).</t>
  </si>
  <si>
    <t>Verificare on-site sui PC ATU GNV: utenti locali presenti, integrazione Active Directory (se applicabile).</t>
  </si>
  <si>
    <t>BASSA</t>
  </si>
  <si>
    <t>Gestione account</t>
  </si>
  <si>
    <t>SR 1.3</t>
  </si>
  <si>
    <t>Asset and User On-boarding con processi ben definiti per data model &amp; connectivity setup e user on/offboarding (CEON-Security.png punto 9). Procedure di provisioning utenti su CEON cloud allineate a ISO 27001 (ISMS-4181-01).
DA POLICY MAN ES 13.1: 'Privileged user accounts shall not be used for everyday work' (sez. 5, gestione utenti privilegiati). Principio di separazione tra account daily-use e account privilegiati implementato a livello policy aziendale MAN.
DA POLICY MAN ES 13.1 Articolo 16 punto (6): 'Existing access authorizations shall be reviewed at regular intervals. These intervals shall be determined according to the extent and criticality of the access'. Articolo 9 'The hiring, change to the appointment or termination of personnel': 'In the event of hiring, change to appointment or retirement of personnel, information, plant equipment, devices, and systems are immediately returned to MAN ES and entry and access rights are immediately revoked. This shall also apply to service providers'. Account lifecycle management completo a livello policy aziendale.</t>
  </si>
  <si>
    <t>CEON-Security.png punto 9
Final Certificate MAN Energy Solutions-4181-01.pdf (ISO/IEC 27001:2022)
(standard) MAN ES_13.1_en_Instruction_1.pdf (Group Policy Information Security, applicable as of 01/03/2023), sez. 5 punto (4)
(standard) MAN ES_13.1_en_Instruction_1.pdf, Art. 9 + Art. 16 punto (6)</t>
  </si>
  <si>
    <t>Account lifecycle completamente coperto: creazione/modifica/cessazione account immediata con revoca rights (MAN ES 13.1 Art. 9), procedura formale registration/de-registration documentata in forma audit (Art. 16 punto 2), review periodica delle authorizations a intervalli determinati per criticità (Art. 16 punto 6).</t>
  </si>
  <si>
    <t>Nessuna azione necessaria; eventuale verifica di una sample report di account review può essere richiesta al fornitore (Whistic H.0.5).</t>
  </si>
  <si>
    <t>Gestione ruoli</t>
  </si>
  <si>
    <t>SR 1.4</t>
  </si>
  <si>
    <t>Asset-based Access Control con strict segmentation e need-to-know principle (CEON-Security.png punto 8). Modello di autorizzazione granulare (CEON-Security.png punto 10) per minimizzare incidenti di sicurezza.
DA POLICY MAN ES 13.1 Articolo 16 punto (1): 'A technical policy for access rights shall be established and verified regularly based on business and security requirements'. Punto (3): 'The allocation of administrative system authorizations shall be carried out restrictively, documented with care, and verified on a regular basis'. Articolo 1 'Segregation of duties and responsibilities': 'tasks and responsibilities in business processes together with critical functions shall be identified and evaluated... The misuse and manipulation of information and IT systems shall be prevented to the greatest possible extent through the separation of tasks'.</t>
  </si>
  <si>
    <t>CEON-Security.png punti 8, 10
Final Certificate ISO/IEC 27001:2022 ISMS-4181-01
(standard) MAN ES_13.1_en_Instruction_1.pdf, Art. 1 + Art. 16 punti (1),(3)</t>
  </si>
  <si>
    <t>Modello a ruoli formalmente strutturato: segregation of duties (MAN ES 13.1 Art. 1) + technical policy access rights con review periodica (Art. 16 punto 1) + minimum/adequate authorization principle (Art. 16 punto 2) + admin authorizations restricted/documented (Art. 16 punto 3) + supervisor non può essere admin nello stesso scope (Art. 8 punto 2).</t>
  </si>
  <si>
    <t>Nessuna azione strettamente necessaria; matrice ruoli/permessi tecnica specifica del prodotto CEON può essere richiesta in fase di operations setup.</t>
  </si>
  <si>
    <t>Gestione credenziali</t>
  </si>
  <si>
    <t>SR 1.5</t>
  </si>
  <si>
    <t>Secure key management implementato (Security FAQ_v3.docx). Gestione chiavi crittografiche tramite AWS Key Management Service (KMS) con envelope encryption (Security FAQ_v3.docx, sez. cryptographic keys protection). Master keys protette via AWS KMS. Secure outbound connection only (CEON-Security.png punto 5).
DA WHISTIC SIG LITE H.2: 'Has management approved, communicated, and enforced a password policy for systems that transmit, process, or store scoped data on all platforms?' → YES.
DA WHISTIC SIG LITE H.2.1: 'Does the password policy require keeping passwords confidential?' → YES.
DA WHISTIC SIG LITE H.0.2: 'Corporate password policy and procedures documentation' → 'Available upon request'.
DA WHISTIC SIG LITE N.12: 'Are default passwords changed or disabled prior to placing network devices into production?' → YES.
DA POLICY MAN ES 13.1: 'Password management stipulations shall be defined centrally and shall be evaluated on a regular basis and be implemented in accordance' (sez. 5 punto 5). Gestione centralizzata delle password con evaluation periodica formalmente prescritta dalla policy aziendale MAN ES.
DA POLICY MAN ES 13.1 Articolo 16 punto (5): 'Password management stipulations shall be defined centrally and shall be evaluated on a regular basis and be implemented in accordance with the requirements of developing technologies. Passwords shall be managed in accordance with documented procedures'. Password management centralizzato e con valutazione periodica e procedure documentate a livello policy.</t>
  </si>
  <si>
    <t>Security FAQ_v3.docx (sez. Cryptographic keys protection)
CEON-Security.png punto 5
Architecture.png
Cyber Security Questionnaires - Whistic - 2024.01.xlsx sez. H.2, H.2.1, H.0.2, N.12
(standard) MAN ES_13.1_en_Instruction_1.pdf (Group Policy Information Security, applicable as of 01/03/2023), sez. 5 punto (5)
(standard) MAN ES_13.1_en_Instruction_1.pdf, Art. 16 punto (5)</t>
  </si>
  <si>
    <t>PARZIALMENTE CONFORME</t>
  </si>
  <si>
    <t>Gestione credenziali utente CEON cloud presumibilmente robusta (ISO 27001 alignment). Manca dettaglio operativo: policy password, rotation periodica, password storage hash function (bcrypt? argon2?), procedure di reset password.</t>
  </si>
  <si>
    <t>Richiedere a MAN/Everllence: policy password formale (min length, complexity, history, expiry), procedure reset password sicure, esistenza forced password change al primo login.</t>
  </si>
  <si>
    <t>MEDIA</t>
  </si>
  <si>
    <t>Accesso wireless</t>
  </si>
  <si>
    <t>SR 1.6</t>
  </si>
  <si>
    <t>L'ATU CEON è un Hardened Device con wireless DISABILITATO (CEON-Security.png punto 1: 'No interaction possible from outside (wireless, usb, ssh disabled) / DNV certified'). Hardware B&amp;R APC2200 industrial PC. Network ATU configurato via cavo Ethernet (RJ45 STP CAT6 minimo) verso managed switch MAN.</t>
  </si>
  <si>
    <t>CEON-Security.png punto 1
B&amp;R_APC2200_UserManual_ENG_V2.02.pdf
3. PSA Installation Guide v1.5.pdf</t>
  </si>
  <si>
    <t>Wireless dichiarato disabilitato by design su ATU. DNV certified come Hardened Device. Confermare nave per nave durante visita on-site che effettivamente non ci siano dongle Wi-Fi/Bluetooth o adapter abilitati.</t>
  </si>
  <si>
    <t>Verifica visiva on-site sui PC ATU GNV: assenza adapter wireless attivi, conferma BIOS lock di interfacce wireless.</t>
  </si>
  <si>
    <t>Robustezza password</t>
  </si>
  <si>
    <t>SR 1.7</t>
  </si>
  <si>
    <t>Robustezza password gestita lato CEON cloud (AWS) con allineamento ISO 27001:2022 ISMS-4181-01. Aspetto specifico non dettagliato nei documenti tecnici disponibili.
DA WHISTIC SIG LITE H.2: password policy approvata e enforced (YES). Dettaglio specifico (lunghezza minima, complessità, expiry) disponibile a richiesta tramite Whistic H.0.2 'Corporate password policy and procedures documentation: Available upon request'.</t>
  </si>
  <si>
    <t>Final Certificate ISO/IEC 27001:2022 ISMS-4181-01
Security FAQ_v3.docx (riferimenti generali sicurezza)
Cyber Security Questionnaires - Whistic - 2024.01.xlsx sez. H.2, H.0.2</t>
  </si>
  <si>
    <t>Password policy esiste ed è enforced. Manca documento formale dettagliato (richiedibile a MAN via canale ufficiale).</t>
  </si>
  <si>
    <t>Richiedere a MAN tramite Whistic platform il documento 'Corporate password policy and procedures' (riferimento Whistic H.0.2).</t>
  </si>
  <si>
    <t>Mascheratura password</t>
  </si>
  <si>
    <t>SR 1.10</t>
  </si>
  <si>
    <t>Best practice standard per applicazioni web moderne; CEON è SaaS hosted su AWS con UI web/mobile.</t>
  </si>
  <si>
    <t>Architecture.png
Security FAQ_v3.docx (UI HTTPS)</t>
  </si>
  <si>
    <t>Mascheratura password durante input è prassi standard ma non documentata esplicitamente. Da confermare visivamente.</t>
  </si>
  <si>
    <t>Verifica visiva durante demo CEON cloud UI: campo password mascherato, no echo plaintext.</t>
  </si>
  <si>
    <t>FR2 — Controllo degli accessi e audit</t>
  </si>
  <si>
    <t>Minimo privilegio</t>
  </si>
  <si>
    <t>SR 2.1</t>
  </si>
  <si>
    <t>Asset-based Access Control con strict segmentation e need-to-know principle (CEON-Security.png punto 8). Modello di autorizzazione granulare per minimizzare incidenti di sicurezza (punto 10). ISO 27001 ISMS implementa principle of least privilege come parte dei controlli A.5/A.8.
DA POLICY MAN ES 13.1: 'It shall be ensured that users only receive authorisations effective access protection' (sez. 5, principio del minimo privilegio implementato a livello aziendale). 'Privileged user accounts shall not be used for everyday work' = principio di non-promiscuità degli account privilegiati.
DA POLICY MAN ES 13.1 Articolo 16 'Management of authorizations and passwords' punto (2): 'It shall be ensured that users only receive authorization appropriate to the tasks that they are required to carry out (minimum/adequate authorization allocation principle)'. Punto (4): 'Privileged user accounts shall not be used for everyday work'. Articolo 13 'Network security' punto (2): 'all network components shall be configured as restrictively as possible and safeguarded against unauthorized access. The principle of minimum authorization allocation shall be applied'. Principio di minimo privilegio implementato sia a livello applicativo (Art. 16) sia a livello rete (Art. 13).</t>
  </si>
  <si>
    <t>CEON-Security.png punti 8, 10
Final Certificate ISO/IEC 27001:2022 ISMS-4181-01
(standard) MAN ES_13.1_en_Instruction_1.pdf (Group Policy Information Security, applicable as of 01/03/2023), sez. 5
(standard) MAN ES_13.1_en_Instruction_1.pdf, Art. 13 punto (2), Art. 16 punti (2),(4)</t>
  </si>
  <si>
    <t>Principio di minimo privilegio applicato a livello policy obbligatoria multi-area: principio di minima autorizzazione applicato sia su accessi applicativi (MAN ES 13.1 Art. 16 punto 2) sia su accessi rete (Art. 13 punto 2). Privileged accounts NOT for everyday work (Art. 16 punto 4). Asset-based access control + segmentation a livello prodotto (CEON-Security.png punto 8).</t>
  </si>
  <si>
    <t>Eventuale richiesta tecnica al fornitore: privilegi specifici di esecuzione Agent Shell/Core su ATU (root vs service account).</t>
  </si>
  <si>
    <t>Controllo wireless</t>
  </si>
  <si>
    <t>SR 2.2</t>
  </si>
  <si>
    <t>ATU = Hardened Device con wireless disabilitato (CEON-Security.png punto 1). Nessuna gestione wireless lato prodotto perché non presente.</t>
  </si>
  <si>
    <t>CEON-Security.png punto 1</t>
  </si>
  <si>
    <t>Wireless disabilitato by design. Nessuna gestione wireless necessaria.</t>
  </si>
  <si>
    <t>Verifica visiva on-site (vedi item 5).</t>
  </si>
  <si>
    <t>Dispositivi USB</t>
  </si>
  <si>
    <t>SR 2.3</t>
  </si>
  <si>
    <t>USB DISABILITATO sull'ATU come parte dell'hardening (CEON-Security.png punto 1: 'No interaction possible from outside (wireless, usb, ssh disabled)'). DNV certified come Hardened Device. Eccezione operativa: durante installazione PSA, viene usato un USB stick per backup database PMI (3. PSA Installation Guide v1.5.pdf, step 1: 'Create a database backup from PMI application and save it on a USB stick').
DA POLICY MAN ES 13.1: 'Removable data media shall be handled in accordance with the need to safeguard the data stored on them with regard to logical and physical aspects' (sez. 5). Policy aziendale formale sul controllo media rimovibili.
DA POLICY MAN ES 13.1 Articolo 14 'To safeguard information and data media' punto (1): 'When exchanging information using portable data media, the data media shall be safeguarded appropriate to their specific need to safeguard'. Punto (2): 'Removable data media shall be handled in accordance with the need to safeguard the data stored on them with regard to logical and physical security'. Punto (3): 'On disposal of data media, it shall be ensured that confidential data is destroyed such that it cannot be restored'. Punto (4): 'Documented procedures for secure handling (storage and distribution) of information (on portable media) shall be established to prevent unauthorized inspection (access), misuse, or manipulation'.</t>
  </si>
  <si>
    <t>CEON-Security.png punto 1
3. PSA Installation Guide v1.5.pdf step 1
(standard) MAN ES_13.1_en_Instruction_1.pdf (Group Policy Information Security, applicable as of 01/03/2023), sez. 5 removable data media
(standard) MAN ES_13.1_en_Instruction_1.pdf, Art. 14 punti (1)-(4)</t>
  </si>
  <si>
    <t>USB disabilitato by design su ATU in produzione. Eccezione: USB usato durante commissioning per backup PMI (operazione one-shot di setup, non operativa). Conferma nave per nave che USB sia effettivamente disabilitato post-commissioning.</t>
  </si>
  <si>
    <t>Verifica on-site: USB disabilitato su ATU GNV in produzione (BIOS, GPO, EDR). Procedure di commissioning con USB autorizzato/tracciato.</t>
  </si>
  <si>
    <t>Mobile code</t>
  </si>
  <si>
    <t>SR 2.4</t>
  </si>
  <si>
    <t>ATU basato su Ubuntu Core minimal IoT OS o Windows; restrizioni esecuzione codice via OS sandboxing. CEON Web UI standard browser-based.
DA WHISTIC NIST CSF DE.CM-5: 'Is unauthorized mobile code detected?' → YES.
DA WHISTIC SIG LITE T.0.5: 'Documentation regarding the policies, standards, or guidelines regarding the use of mobile code in the environment for target systems' → 'Available upon request'.
DA POLICY MAN ES 13.1: 'A virus protection policy shall be drawn up by the responsible operator(s), to prevent malicious software and mobile code, incorporate multiple testing of all items that may be affected by viruses. A virus scanner shall be installed on each work place computer.' Mobile code prevention è esplicitamente parte della policy MAN ES 13.1.</t>
  </si>
  <si>
    <t>ISMS ATU Release Management.pdf (Ubuntu Core snap packages)
Architecture.png
Cyber Security Questionnaires - Whistic - 2024.01.xlsx sez. DE.CM-5, T.0.5
(standard) MAN ES_13.1_en_Instruction_1.pdf (Group Policy Information Security, applicable as of 01/03/2023), sez. virus protection policy</t>
  </si>
  <si>
    <t>Mobile code prevention coperta dalla virus protection policy MAN ES 13.1 + detection NIST DE.CM-5 confermata = controllo robusto.</t>
  </si>
  <si>
    <t>Verifica visiva durante demo CEON UI: lista plugin browser allowlist, JavaScript policy.</t>
  </si>
  <si>
    <t>Blocco sessione</t>
  </si>
  <si>
    <t>SR 2.5</t>
  </si>
  <si>
    <t>Sessione CEON Web UI presumibilmente con timeout di inattività (best practice SaaS).
DA POLICY MAN ES 13.1 Articolo 19 'The use of information and communication facilities and devices' punto (1): 'Where technically possible, after a set period user inactivity shall automatically result in a block (e.g. screen, smartphone)'. Auto-lock per inattività è obbligatorio a livello policy MAN ES su tutti i dispositivi e applicazioni dove tecnicamente possibile.</t>
  </si>
  <si>
    <t>Architecture.png
Security FAQ_v3.docx
(standard) MAN ES_13.1_en_Instruction_1.pdf, Art. 19 punto (1)</t>
  </si>
  <si>
    <t>Auto-lock per inattività garantito da policy MAN ES 13.1 Art. 19. Implementazione tecnica specifica del timeout (durata in minuti) non quantificata nel documento.</t>
  </si>
  <si>
    <t>Conferma operativa: durante demo CEON UI verificare il timeout effettivo (presumibilmente 15-30 min standard SaaS).</t>
  </si>
  <si>
    <t>Log eventi sicurezza</t>
  </si>
  <si>
    <t>SR 2.8</t>
  </si>
  <si>
    <t>MAN-CEON integra real-time monitoring, advanced anomaly detection, robust incident response (Security FAQ_v3.docx, sez. 'How does MAN-CEON help in detecting and responding to security incidents'). Continuous Risk Assessment con Intrusion detection/prevention, vulnerability management technology (CEON-Security.png punto 6). ISMS ISO 27001:2022 implementa logging e monitoring requirements (A.8.15-A.8.16).
DA WHISTIC SIG LITE J.5: 'Is there a specific methodology to regularly review events on scoped systems or systems containing scoped data to uncover potential incidents?' → YES.
DA WHISTIC J.5.1: 'Does regular security monitoring include alerts for malware infections and suspicious activity?' → YES.
DA WHISTIC CAIQ LOG-04.1: 'Is access to audit logs restricted to authorized personnel, and are records maintained to provide unique access accountability?' → YES (CSP-Owned).
DA WHISTIC CAIQ LOG-05.1: 'Are security audit logs monitored to detect activity outside of typical or expected patterns?' → YES (CSP-Owned).
DA POLICY MAN ES 13.1: 'Monitoring and logging measures shall be assessed and set up accordingly. Any log data recorded shall be verified on a regular basis, automatically if possible' (sez. 5 punto monitoraggio). Verifica periodica dei log richiesta a livello policy aziendale.
DA POLICY MAN ES 13.1 Articolo 18 'To safeguard system use' (interamente dedicato al logging): Punto (1): 'log data shall be created and stored'. Punto (2): 'security incidents and serious interruptions to MAN ES business processes to be tracked and evaluated via all participating networks, systems, and applications. The system times of all MAN ES systems and network components shall be synchronized'. Punto (5): 'the extent and content of required log information shall be determined on the basis of statutory and commercial requirements... As a minimum, information shall be available for appropriate tracking of security incidents'. Punto (6): 'Privileged activities forming part of the management of IT systems shall be logged and fully personalized'.</t>
  </si>
  <si>
    <t>Security FAQ_v3.docx (sez. Security incidents detection)
CEON-Security.png punto 6
Final Certificate ISO/IEC 27001:2022
Cyber Security Questionnaires - Whistic - 2024.01.xlsx sez. J.5, J.5.1, LOG-04.1, LOG-05.1
(standard) MAN ES_13.1_en_Instruction_1.pdf (Group Policy Information Security, applicable as of 01/03/2023), sez. 5
(standard) MAN ES_13.1_en_Instruction_1.pdf, Art. 18 punti (1),(2),(5),(6)</t>
  </si>
  <si>
    <t>Real-time monitoring + anomaly detection + IDS/IPS + ISMS ISO 27001 garantiscono coverage logging eventi sicurezza. Manca evidenza specifica dei tipi di evento loggati e accessibilità al cliente.</t>
  </si>
  <si>
    <t>Richiedere a MAN/Everllence: lista eventi loggati a livello CEON cloud + ATU, formato log, possibile esportazione verso SIEM cliente.</t>
  </si>
  <si>
    <t>Spazio storage log</t>
  </si>
  <si>
    <t>SR 2.9</t>
  </si>
  <si>
    <t>Storage log lato cloud CEON gestito da AWS infrastructure (SOC 2 Type II compliant). High Availability data storage 99,99% (CEON-Security.png punto 7).
DA WHISTIC SIG LITE G.0.8: 'Documentation on policy and procedures regarding log retention' → 'Available upon request'.
DA WHISTIC K.11: 'Is there a data retention policy or process with a retention schedule for scoped data?' → YES.</t>
  </si>
  <si>
    <t>CEON-Security.png punto 7
System_and_Organization_Controls_(SOC)_2_Report.pdf
Cyber Security Questionnaires - Whistic - 2024.01.xlsx sez. G.0.8, K.11</t>
  </si>
  <si>
    <t>Retention log e protezione storage formalmente coperti: log retention period fisso definito (MAN ES 13.1 Art. 18 punto 3), log safeguard contro accesso/manipolazione non autorizzata, deletion at end of retention. Storage cloud ad alta disponibilità (CEON-Security.png punto 7).</t>
  </si>
  <si>
    <t>Nessuna azione necessaria; periodi di retention specifici di prodotto possono essere richiesti al fornitore.</t>
  </si>
  <si>
    <t>Failure del logging</t>
  </si>
  <si>
    <t>SR 2.10</t>
  </si>
  <si>
    <t>Aspetto non dettagliato esplicitamente nei documenti.</t>
  </si>
  <si>
    <t>(non trattato nei documenti disponibili)</t>
  </si>
  <si>
    <t>Detection di anomalie di sistema coperta a livello policy: identification e evaluation timely di technical weaknesses (MAN ES 13.1 Art. 28 punto 1), automated detection di attack patterns/hacking attempts (Art. 28 punto 5). Comportamento specifico in caso di logging failure (alert visibile vs blocco operativo vs silente) non documentato esplicitamente.</t>
  </si>
  <si>
    <t>Eventuale chiarimento al fornitore: comportamento applicativo del sistema CEON in caso di failure logging (alert/blocco/silente).</t>
  </si>
  <si>
    <t>Timestamp nei log</t>
  </si>
  <si>
    <t>SR 2.11</t>
  </si>
  <si>
    <t>Time Sync via NTP confermato in architettura: ATU sincronizza tempo da CEON Backend NTP Service (Architecture.png). Time sync è uno dei flussi documentati: NTP UDP porta 123 verso server NTP MAN (91.189.94.4, 91.189.91.157, 35.156.77.222, 35.157.233.80, 35.156.61.78 — '2. Connectivity to CEON - Firewall requirements.pdf' Tabella 1 punto 3c).</t>
  </si>
  <si>
    <t>Architecture.png (NTP Service)
2. Connectivity to CEON - Firewall requirements.pdf Tabella 1 punto 3c</t>
  </si>
  <si>
    <t>Time sync via NTP documentato e parte integrante dell'architettura. Timestamp nei log presumibilmente sincronizzati.</t>
  </si>
  <si>
    <t>Verificare configurazione NTP sui PC ATU GNV durante visita on-site.</t>
  </si>
  <si>
    <t>FR3 — Integrità del sistema</t>
  </si>
  <si>
    <t>Integrità comunicazioni</t>
  </si>
  <si>
    <t>SR 3.1</t>
  </si>
  <si>
    <t>Comunicazioni protette tramite TLS (latest version) per tutti i flussi (CEON-Security.png punto 5: 'Outbound only: Our outbound protocols are using latest TLS version'). Security FAQ_v3.docx conferma 'advanced Transport Layer Security (TLS) protocols for encryption' applicato a tutti i dati in transit (ATU-cloud + browser-frontend + frontend-backend). Encryption-in-transit con AES standard.</t>
  </si>
  <si>
    <t>CEON-Security.png punto 5
Security FAQ_v3.docx (sez. Data protection in transit)
Everllence_Standard_ATU-mGuard_Network_REV02.pdf</t>
  </si>
  <si>
    <t>Integrità comunicazioni garantita da TLS latest version + AES encryption. Architettura outbound-only verso CEON cloud, no inbound a edge device. Nessun gap residuo significativo.</t>
  </si>
  <si>
    <t>Richiedere a MAN/Everllence: versione TLS minima accettata, suite cipher disabilitate, gestione certificati TLS (validità, rotation).</t>
  </si>
  <si>
    <t>Protezione malware</t>
  </si>
  <si>
    <t>SR 3.2</t>
  </si>
  <si>
    <t>ATU è Hardened Device con sistema operativo dedicato (Ubuntu Core minimal IoT OS o Windows). Continuous Risk Assessment con vulnerability management e mitigation (CEON-Security.png punto 6). Snap packages Ubuntu Core forniscono applicazioni confinate. Pen test annuale (Pentest2025redacted.pdf) include retesting di vulnerabilità precedenti.
DA POLICY MAN ES 13.1: 'A virus protection policy shall be drawn up... A virus scanner shall be installed on each work place computer. Updates of the antivirus software/malware code shall be initiated automatically on system start, shall download updates automatically where possible, and shall be prevented from being shut down by users.' Policy aziendale di protezione antimalware molto dettagliata.
DA POLICY MAN ES 13.1 Articolo 26 'To prevent malicious software and mobile code' (interamente dedicato a antimalware): Punto (3): 'All data traffic from or within public networks shall be automatically checked for viruses by a central virus protection system. Virus protection shall be able to check compressed or encrypted files where technically possible'. Punto (4): 'A process shall be developed for correctly dealing with virus-infected content. Active content such as in downloads or websites from public networks shall have its system conformity verified by central systems before being transferred'. Punto (5): 'Only those services and functionalities shall be made available on the systems (client and server) that are required for the intended purpose'. Punto (6): 'Security software and settings shall be configured such that no modifications are possible by the user and that the function cannot be shut down'. Punto (7): 'IT systems in production environments (such as industrial PCs) shall be safeguarded against malicious software insofar as these systems provide access to the Internet, or mobile data media are used. If this is not possible, these systems shall by isolated as appropriate by means of network separation and deactivation of ports'.</t>
  </si>
  <si>
    <t>CEON-Security.png punti 1, 6
ISMS ATU Release Management.pdf
Pentest2025redacted.pdf (Recurity Labs ottobre 2025)
(standard) MAN ES_13.1_en_Instruction_1.pdf (Group Policy Information Security, applicable as of 01/03/2023), sez. virus protection policy
(standard) MAN ES_13.1_en_Instruction_1.pdf, Art. 26 punti (3)-(7)</t>
  </si>
  <si>
    <t>Hardening + Ubuntu Core confinato + vulnerability management + pentest annuale = posture malware-resistant solida. Manca menzione esplicita di antivirus/EDR su ATU Windows-based (variante).</t>
  </si>
  <si>
    <t>Richiedere a MAN/Everllence: presenza antivirus/EDR su ATU variant Windows, integrazione possibile con Cortex XDR (richiesto da GNV).</t>
  </si>
  <si>
    <t>Test sicurezza</t>
  </si>
  <si>
    <t>SR 3.3</t>
  </si>
  <si>
    <t>Penetration test continuo dichiarato (CEON-Security.png punto 11: 'Continous Pentest: Dedicated cyber security teams perform regular black- and white hat assessments across the complete Everllence CEON architecture'). Pentest 2025 condotto da Recurity Labs GmbH (Project No. 507.2503, ottobre 2025, 110 pagine) con scope completo: PrimeServ Assist Mobile App, Web Apps, AWS Infrastructure. Test plan include: Documentation Integrity, Migration Remnant, Attack Model, Compare Preprod/Prod, IAC Integrity, Configuration Review.
SECONDO PENTEST DOCUMENTATO (RedactedPentest.pdf): 'API Services Retest', Project No. 241.2305, Recurity Labs GmbH, dicembre 2023 (drafted 21/12/2023, finalized 22/12/2023), 45 pagine totali. 12 retested findings ai capitoli 3.1-3.12. Combinato con il pentest 2025 (Mya CEON Security Assessment &amp; Retest, Project 507.2503, ottobre 2025) conferma cadenza pentest ~ogni 2 anni con retest dei findings precedenti.
DA WHISTIC SIG LITE T.1: 'Is there a centrally managed Vulnerability Management Program and associated Policy that has been approved by management, communicated to appropriate constituents and has an owner to maintain it?' → YES.
DA WHISTIC NIST PR.IP-12: 'Is a vulnerability management plan developed and implemented?' → YES.
DA POLICY MAN ES 13.1 Articolo 31 'Verification of Information Security' punto (4): 'Technical Information Security must be assessed by measures such as regular penetration tests or security audits'. Punto (5): 'The organizational Information Security must be checked by regular process audits such as self-assessments, on-site assessments, management assessments or assessments by external partners'. Articolo 28 punto (5): 'In order to identify and tackle attacks and network hacking attempts at MAN ES in a timely manner, systems shall be used to automatically detect and/or prevent attack patterns and hacking attempts'. Pentest 2023 + 2025 da Recurity Labs sono evidenze concrete di applicazione di Art. 31 punto (4).</t>
  </si>
  <si>
    <t>CEON-Security.png punto 11
Pentest2025redacted.pdf (Recurity Labs, Project No. 507.2503, ottobre 2025, 110 pagine)
RedactedPentest.pdf (API Services Retest 2023)
Cyber Security Questionnaires - Whistic - 2024.01.xlsx sez. T.1, PR.IP-12
(standard) MAN ES_13.1_en_Instruction_1.pdf, Art. 28 punto (5), Art. 31 punti (4),(5)</t>
  </si>
  <si>
    <t>Pentest annuale documentato con vendor cyber-security qualificato (Recurity Labs). Findings redatti nel documento condiviso (per confidenzialità) ma esistenza test confermata. Test plan completo e strutturato.</t>
  </si>
  <si>
    <t>Richiedere a MAN/Everllence: estratto findings principali del pentest 2025 (anche solo executive summary o lista categorie di vulnerabilità trovate), conferma chiusura findings critici/high.</t>
  </si>
  <si>
    <t>Stato sicuro (fail-safe)</t>
  </si>
  <si>
    <t>SR 3.4</t>
  </si>
  <si>
    <t>ATU è dispositivo di data acquisition (signal data acquisition Linux/Windows-based — Architecture.png), non controlla attuatori. Se ATU va in failure, l'engine continua il funzionamento normale (l'EMS computer è separato dal controllo motore principale; PSA Installation Guide step 'Important: the following steps must be done while the main engine is OFF' indica che il sistema PSA non è critico per il funzionamento del motore).</t>
  </si>
  <si>
    <t>Architecture.png
3. PSA Installation Guide v1.5.pdf</t>
  </si>
  <si>
    <t>Sistema PSA è advisory/monitoring, non controlla la propulsione. In caso di failure ATU, motore continua a operare normalmente.</t>
  </si>
  <si>
    <t>Confermare con MAN che PSA è puramente advisory e non integrato nel controllo safety-critical motore.</t>
  </si>
  <si>
    <t>FR4 — Confidenzialità dei dati</t>
  </si>
  <si>
    <t>Protezione dati</t>
  </si>
  <si>
    <t>SR 4.1</t>
  </si>
  <si>
    <t>Encryption-at-rest tramite AES symmetric encryption per dati sensibili (Security FAQ_v3.docx, sez. 'How does MAN-CEON encrypt sensitive data'). Storage AWS in EU/Frankfurt (EU-Central 1) per data residency GDPR-compliant. Cifratura dati 'in transit and at rest using the de facto Advanced Encryption Standard (AES) symmetric encryption algorithm'. Dati immagazzinati in Germania (CEON-Security.png punto 7).</t>
  </si>
  <si>
    <t>Security FAQ_v3.docx (sez. Data encryption)
CEON-Security.png punto 7
Final Certificate ISO/IEC 27001:2022 ISMS-4181-01</t>
  </si>
  <si>
    <t>Encryption at rest + in transit + AES + data residency GDPR-compliant + ISO 27001. Coverage E27 SR 4.1 solida.</t>
  </si>
  <si>
    <t>Nessuna azione necessaria; eventuali dettagli tecnici (AES-256? AES-128? GCM?) richiedibili a MAN.</t>
  </si>
  <si>
    <t>Crittografia</t>
  </si>
  <si>
    <t>SR 4.3</t>
  </si>
  <si>
    <t>AES symmetric encryption per dati at rest e in transit (Security FAQ_v3.docx). TLS latest version per tutti i flussi (CEON-Security.png punto 5). AWS KMS per key management con envelope encryption (Security FAQ_v3.docx). VPN IPSec per remote access (Everllence_Standard_ATU-mGuard_Network_REV02.pdf).</t>
  </si>
  <si>
    <t>Security FAQ_v3.docx
CEON-Security.png punto 5
Everllence_Standard_ATU-mGuard_Network_REV02.pdf</t>
  </si>
  <si>
    <t>Crittografia robusta multi-layer: TLS latest, AES, AWS KMS, IPSec. Algoritmi standard di settore.</t>
  </si>
  <si>
    <t>Richiedere a MAN/Everllence: dettagli specifici (TLS minimum version 1.2 o 1.3, suite cipher accettate, AES-256 confermato).</t>
  </si>
  <si>
    <t>FR6 — Risposta agli eventi</t>
  </si>
  <si>
    <t>Accessibilità log audit</t>
  </si>
  <si>
    <t>SR 6.1</t>
  </si>
  <si>
    <t>Real-time monitoring + anomaly detection + incident response su CEON cloud (Security FAQ_v3.docx). ISMS ISO 27001 implementa controlli A.8.15-A.8.16 su logging e monitoring. Log eventi sicurezza disponibili lato CEON; accessibilità ai log per il cliente non documentata esplicitamente.
DA POLICY MAN ES 13.1 Articolo 18 'To safeguard system use' punto (3): 'Log data and log files shall be retained for a fixed period in case they may be useful in future investigations. Logs shall be safeguarded against unauthorized access and manipulation and shall be deleted upon expiry of the fixed retention period'. Punto (7): 'Log files shall be evaluated such that events critical to security are identified in good time. It shall be ensured that personnel are appropriately trained for the evaluation of log information'. Punto (6): 'Privileged activities forming part of the management of IT systems shall be logged and fully personalized. The conformity of logging procedures shall be tested by an independent body against defined procedures on a regular basis'. Punto (5): 'As a result of a risk analysis the extent and content of required log information shall be determined on the basis of statutory and commercial requirements for the identified systems. As a minimum, information shall be available for appropriate tracking of security incidents'.</t>
  </si>
  <si>
    <t>Security FAQ_v3.docx
Final Certificate ISO/IEC 27001:2022
(standard) MAN ES_13.1_en_Instruction_1.pdf, Art. 18 punti (3),(5),(6),(7)</t>
  </si>
  <si>
    <t>Logging policy MAN ES 13.1 Art. 18 garantisce: retention periodica, protezione log da accessi non autorizzati e manipolazione, evaluation periodica per detection eventi critici, audit indipendente delle procedure di logging, logging fully personalized degli accessi privilegiati. Manca dettaglio specifico sull'accessibilità lato cliente CEON (export verso SIEM).</t>
  </si>
  <si>
    <t>Richiedere a MAN: meccanismo di accesso log audit lato cliente (UI CEON, API, syslog forwarding); formato esportabile (JSON, CEF, syslog) per integrazione SIEM cliente Cortex XDR.</t>
  </si>
  <si>
    <t>FR7 — Disponibilità delle risorse</t>
  </si>
  <si>
    <t>Protezione DoS</t>
  </si>
  <si>
    <t>SR 7.1</t>
  </si>
  <si>
    <t>Architettura cloud AWS-hosted con high availability 99,99% (CEON-Security.png punto 7). AWS infrastructure include protezione DDoS standard (AWS Shield). Continuous Risk Assessment con IDS/IPS (CEON-Security.png punto 6).</t>
  </si>
  <si>
    <t>CEON-Security.png punti 6, 7
System_and_Organization_Controls_(SOC)_2_Report.pdf</t>
  </si>
  <si>
    <t>Protezione DoS lato cloud garantita da AWS Shield (standard). Lato ATU edge: outbound-only protocol limita esposizione DoS inbound.</t>
  </si>
  <si>
    <t>Richiedere a MAN: AWS Shield Standard o Advanced? Protezioni rate limiting su API CEON?</t>
  </si>
  <si>
    <t>Gestione risorse</t>
  </si>
  <si>
    <t>SR 7.2</t>
  </si>
  <si>
    <t>ATU CEON con Edge Processing per data buffering e aggregation per ridurre bandwidth (CEON-Security.png punto 2). Hardware B&amp;R APC2200 industrial PC dimensionato per workload data acquisition.</t>
  </si>
  <si>
    <t>CEON-Security.png punto 2
B&amp;R_APC2200_UserManual_ENG_V2.02.pdf</t>
  </si>
  <si>
    <t>Gestione risorse documentata a livello architetturale. Buffering edge previene overflow rete.</t>
  </si>
  <si>
    <t>Verifica monitoring CPU/RAM/disco ATU su navi GNV in produzione, alert configurati.</t>
  </si>
  <si>
    <t>Backup</t>
  </si>
  <si>
    <t>SR 7.3</t>
  </si>
  <si>
    <t>High Availability, Secure Data Storage con data backup integrato (CEON-Security.png punto 7: '99,99% infrastructure availability, data backup, platform provider ISO27001 and CIS certified; data securely stored within Germany'). Backup PMI database via USB stick come parte della procedura di installazione (3. PSA Installation Guide v1.5.pdf step 1).
DA POLICY MAN ES 13.1: 'A concept for data backup and recovery shall be defined for each system. Data backup and recovery this general concept shall also appoint responsibilities.' Backup obbligatorio a livello policy MAN ES per ogni sistema, con responsabilità definite.
DA POLICY MAN ES 13.1 Articolo 25 'Data backup and recovery' punto (1): 'A concept for data backup and recovery shall be defined for each system. This general concept shall also appoint responsibilities'. Punto (4): 'The data security concept shall undergo a detailed test at least once a year. The result of the test shall be documented and stored as proof'. Punto (5): 'The same access restrictions shall apply to the storage location of data backups as for systems on which original data are stored'. Punto (6): 'Data backup media shall be catalogued and have their completeness and readability tested on a regular basis'. Punto (7): 'The ability to restore data critical to business shall be tested at least once a year. All tests carried out shall be documented'.</t>
  </si>
  <si>
    <t>CEON-Security.png punto 7
3. PSA Installation Guide v1.5.pdf step 1
(standard) MAN ES_13.1_en_Instruction_1.pdf (Group Policy Information Security, applicable as of 01/03/2023), sez. 5 backup and recovery
(standard) MAN ES_13.1_en_Instruction_1.pdf, Art. 25 punti (1),(4),(5),(6),(7)</t>
  </si>
  <si>
    <t>Backup cloud-side automatico parte del servizio CEON (AWS-managed). Backup database PMI durante commissioning documentato.</t>
  </si>
  <si>
    <t>Richiedere a MAN: frequenza backup CEON cloud, retention, possibilità di restore on-demand su richiesta cliente.</t>
  </si>
  <si>
    <t>Ripristino</t>
  </si>
  <si>
    <t>SR 7.4</t>
  </si>
  <si>
    <t>Backup cloud-side disponibile (item 26). Procedura di ripristino EMS computer documentata in PSA Installation Guide (step 4: ripristino backup PMI da USB stick durante setup nuovo EMS). Ubuntu Core su ATU permette factory reset e ri-registrazione automatica (ISMS ATU Release Management.pdf: 'Newly connected ATUs automatically register and update to the current release').
DA WHISTIC SIG LITE K.1: 'Has the organization established a Business Resilience Policy, designated an owner to maintain and review it, and communicated it?' → YES.
DA WHISTIC K.2: 'Is there a formal, documented information technology disaster recovery exercise and testing program in place?' → YES.
DA WHISTIC K.5: 'Is scoped data backed up and stored offsite?' → YES (note: '100% AWS').
DA WHISTIC K.7: 'Have formal procedures for business continuity been developed and documented?' → YES.
DA WHISTIC NIST RC.RP-1: 'Is the recovery plan executed during or after a cybersecurity incident?' → YES.
DA WHISTIC NIST RC.IM-1: 'Do recovery plans incorporate lessons learned?' → YES.
DA WHISTIC NIST PR.IP-10: 'Are response and recovery plans tested?' → YES.
Documenti dettagliati 'Backup and recovery plan procedures' (J.0.10) e 'Crisis management and business continuity and disaster recovery plans' (K.0.4) disponibili su richiesta via Whistic.
DA POLICY MAN ES 13.1: documentation per recovery di sistemi critici prevista per garantire continuity ('such that in the event of a personnel deficiency or system function error, normal operation can be resumed as quickly as possible'). Da AWS SOC 2 Type II Report: documentazione operativa AWS BCP/DRP coperta per la piattaforma cloud sottostante che ospita CEON.
DA POLICY MAN ES 13.1 Articolo 5 'Business and IT service continuity management': 'All MAN ES Group companies shall establish an integrated business and IT service continuity management process. Emergency measures appropriate to the determined risk shall be realized, regularly tested, and adjusted on the basis of a business impact analysis'. Articolo 20 punto (3): 'It shall be ensured that documentation necessary for operation and recovery of critical assets is available in case of business interruptions (e.g. as printout, encrypted on CD/DVD/USB drives)'. Articolo 25 punto (7): test annuale documentato della capacità di restore.</t>
  </si>
  <si>
    <t>3. PSA Installation Guide v1.5.pdf step 4
ISMS ATU Release Management.pdf
Cyber Security Questionnaires - Whistic - 2024.01.xlsx sez. K.1, K.2, K.5, K.7, RC.RP-1, RC.IM-1, PR.IP-10
(standard) MAN ES_13.1_en_Instruction_1.pdf (Group Policy Information Security, applicable as of 01/03/2023), sez. operational procedures
System_and_Organization_Controls_(SOC)_2_Report.pdf (AWS underlying infrastructure)
(standard) MAN ES_13.1_en_Instruction_1.pdf, Art. 5 + Art. 20 punto (3) + Art. 25 punto (7)</t>
  </si>
  <si>
    <t>Procedura di ripristino documentata sia per EMS computer (locale) sia per ATU (auto-recovery via re-registrazione cloud).</t>
  </si>
  <si>
    <t>Verificare con MAN: tempi RTO/RPO documentati, runbook formale di disaster recovery.</t>
  </si>
  <si>
    <t>Alimentazione emergenza</t>
  </si>
  <si>
    <t>SR 7.5</t>
  </si>
  <si>
    <t>PSA Installation Guide include Appendix 1 'ECR UPS power supply' (3. PSA Installation Guide v1.5.pdf, p. 15) con dettaglio alimentazione UPS in Engine Control Room. Alimentazione mGuard + Managed Switch + EMS = 24 VDC (PSA Installation Guide step 2). UPS deve essere fornito dal cliente per protezione apparati ECR.</t>
  </si>
  <si>
    <t>3. PSA Installation Guide v1.5.pdf Appendix 1 (ECR UPS power supply)</t>
  </si>
  <si>
    <t>MAN documenta la necessità di UPS in ECR ma la fornitura UPS è responsabilità del cliente (GNV). Da verificare nave per nave su GNV: presenza UPS, capacità, autonomia.</t>
  </si>
  <si>
    <t>Verifica nave per nave: UPS presente in ECR per alimentare mGuard + Managed Switch + EMS, autonomia adeguata, manutenzione periodica.</t>
  </si>
  <si>
    <t>Configurazione rete</t>
  </si>
  <si>
    <t>SR 7.6</t>
  </si>
  <si>
    <t>Architettura rete documentata in dettaglio: Ship Network → mGuard WAN → mGuard LAN → MAN Managed Switch (16-port) → EMS Computer (port 2) + MOP B (port 3) + PMI-DAU (port 4) + ERCS Tier III (port 5) + AMS (port 6) (3. PSA Installation Guide v1.5.pdf step 2). VLAN 1 sul nostro switch nave (Network.txt: VIR-DIS16-DK2-MVZ5 interface 3/1/21, MAC a8:74:1d:f2:2a:77). Connessione mGuard WAN → VSAT switch con Internet attivo. Cavo CAT 6/STP minimo. IP statico o DHCP. Firewall regole esposte in '2. Connectivity to CEON - Firewall requirements.pdf' Tabella 1: porte 443 TCP, 123 UDP, 500 UDP, 4500 UDP verso IP CEON specifici (35.156.77.222, 35.157.233.80, 35.156.61.78, 149.247.176.129).</t>
  </si>
  <si>
    <t>3. PSA Installation Guide v1.5.pdf step 2
Network.txt
2. Connectivity to CEON - Firewall requirements.pdf Tabella 1
Everllence_Standard_ATU-mGuard_Network_REV02.pdf</t>
  </si>
  <si>
    <t>Configurazione rete dettagliata e documentata. Firewall ports e IP destinazione esplicitati. Architettura segregata con mGuard come perimetro.</t>
  </si>
  <si>
    <t>Verifica nave per nave: rispetto delle regole firewall come da Tabella 1, segregazione VLAN MAN da VLAN GNV.</t>
  </si>
  <si>
    <t>Hardening</t>
  </si>
  <si>
    <t>SR 7.7</t>
  </si>
  <si>
    <t>ATU è Hardened Device DNV certified (CEON-Security.png punto 1). Wireless/USB/SSH disabilitati. Ubuntu Core minimal IoT OS con snap packages confined (ISMS ATU Release Management.pdf). Patch automatiche tramite Snap Store per OS updates. ISMS ISO 27001:2022 implementa hardening guidelines come controlli A.8.9 (Configuration management).
DA POLICY MAN ES 13.1: 'A secure configuration shall be defined as part of system hardening for business critical systems. Those shall be used as basis for a secure installation' (sez. 5 punto secure configuration). Hardening è parte formale della policy aziendale MAN ES per sistemi business-critical (categoria che include i prodotti CEON ATU).
DA POLICY MAN ES 13.1 Articolo 24 'To procure systems on the basis of defined criteria' punto (1): 'It shall be ensured that all new IT systems and services fulfil the requirements of the MAN ES Group with regard to Information Security'. Punto (2): 'A secure configuration shall be defined as part of system hardening for business critical systems. Those shall be used as basis for a secure installation and serve as a checklist for monitoring'. Hardening obbligatorio + checklist di monitoraggio per sistemi business-critical (categoria che include i prodotti CEON ATU).</t>
  </si>
  <si>
    <t>CEON-Security.png punto 1
ISMS ATU Release Management.pdf
Final Certificate ISO/IEC 27001:2022
(standard) MAN ES_13.1_en_Instruction_1.pdf (Group Policy Information Security, applicable as of 01/03/2023), sez. 5 secure configuration
(standard) MAN ES_13.1_en_Instruction_1.pdf, Art. 24 punti (1),(2)</t>
  </si>
  <si>
    <t>Hardening documentato a livello prodotto + DNV certified + ISMS ISO 27001. Coverage solida.</t>
  </si>
  <si>
    <t>Richiedere a MAN: documento hardening guidelines formale (CIS Benchmark? STIG? proprietary checklist?), eventuali eccezioni documentate.</t>
  </si>
  <si>
    <t>Sez. 4.2 — Additional security capabilities (reti untrusted)</t>
  </si>
  <si>
    <t>FR1 — Identificazione e autenticazione (untrusted)</t>
  </si>
  <si>
    <t>MFA per utenti umani</t>
  </si>
  <si>
    <t>SR 1.1 RE1</t>
  </si>
  <si>
    <t>Robust authentication methods including multi-factor authentication and secure key management (Security FAQ_v3.docx, sez. 'How does MAN-ES ensure that data access is protected from unauthorized access'). MFA implementata sulla piattaforma cloud CEON.</t>
  </si>
  <si>
    <t>Security FAQ_v3.docx (sez. Data access protection)
CEON-Security.png punto 8</t>
  </si>
  <si>
    <t>MFA confermata su CEON cloud per utenti umani. Allineato a best practice settore.</t>
  </si>
  <si>
    <t>Verificare lato GNV: enforcement MFA per tutti gli utenti GNV che accedono a CEON, no eccezioni operative (no utenze condivise).</t>
  </si>
  <si>
    <t>Identificazione software e dispositivi</t>
  </si>
  <si>
    <t>SR 1.2</t>
  </si>
  <si>
    <t>Asset and User On-boarding con processi formali (CEON-Security.png punto 9). Ogni ATU registrato univocamente con CEON cloud durante installazione (3. PSA Installation Guide v1.5.pdf, registration process). Continuous Risk Assessment con asset inventory implicit (CEON-Security.png punto 6).</t>
  </si>
  <si>
    <t>CEON-Security.png punti 6, 9
3. PSA Installation Guide v1.5.pdf</t>
  </si>
  <si>
    <t>Identificazione dispositivi tramite registration process al cloud. Asset on-boarding documentato.</t>
  </si>
  <si>
    <t>Richiedere a MAN: meccanismo di identificazione (certificate-based? device ID? token?), gestione revoca dispositivi compromessi.</t>
  </si>
  <si>
    <t>Blocco tentativi login falliti</t>
  </si>
  <si>
    <t>SR 1.11</t>
  </si>
  <si>
    <t>Aspetto non dettagliato esplicitamente nei documenti.
DA AWS SOC 2 Type II Report (infrastruttura sottostante CEON cloud): la piattaforma AWS che ospita CEON applica la 'Amazon.com Password Policy' che include:
• Lunghezza minima 8 caratteri
• Combinazione lettere, numeri, caratteri speciali
• No nome/username nella password
• Storia ultime 15 password
• Cambio ogni 90 giorni (365 se credential compromise detection è attiva)
• Account LOCKOUT after 6 invalid attempts
Questa è la policy AWS-side per gli account che amministrano l'infrastruttura cloud, NON necessariamente la policy applicata agli utenti finali CEON Web UI di MAN.
DA POLICY MAN ES 13.1 Articolo 13 punto (8): 'All systems connected to the MAN ES network (internal network) must be authenticated' (autenticazione obbligatoria, ma lockout specifico non quantificato).</t>
  </si>
  <si>
    <t>(non trattato nei documenti disponibili)
System_and_Organization_Controls_(SOC)_2_Report.pdf (Amazon.com Password Policy)
(standard) MAN ES_13.1_en_Instruction_1.pdf, Art. 13 punto (8)</t>
  </si>
  <si>
    <t>Lockout policy esiste a livello AWS underlying (6 tentativi). Non è documentata la policy specifica MAN-CEON Web UI per utenti finali (cliente GNV).</t>
  </si>
  <si>
    <t>Confermare a MAN: la stessa policy AWS si applica agli utenti CEON Web UI o esiste configurazione MAN-specifica? Soglia, durata blocco, modalità riattivazione?</t>
  </si>
  <si>
    <t>ALTA</t>
  </si>
  <si>
    <t>Banner avviso uso sistema</t>
  </si>
  <si>
    <t>SR 1.12</t>
  </si>
  <si>
    <t>Aspetto non dettagliato esplicitamente nei documenti.
DA WHISTIC SIG LITE H.0.12: 'Documentation regarding the organization's policies, standards, procedures regarding the use of log on banners for accessing target systems, including the standard language used to convey obligations' → 'Available upon request'.
L'esistenza di un documento di policy specifico sui logon banner indica che MAN ha definito standard interni sull'argomento.</t>
  </si>
  <si>
    <t>(non trattato nei documenti disponibili)
Cyber Security Questionnaires - Whistic - 2024.01.xlsx sez. H.0.12</t>
  </si>
  <si>
    <t>Esistenza di una policy formale sui logon banner confermata da Whistic H.0.12. Manca il documento concreto.</t>
  </si>
  <si>
    <t>Richiedere a MAN il documento 'Logon banners policies and standard language' (Whistic H.0.12). Verificare se è applicabile/configurabile su CEON UI cliente.</t>
  </si>
  <si>
    <t>Accesso da reti untrusted</t>
  </si>
  <si>
    <t>SR 1.13</t>
  </si>
  <si>
    <t>Architettura outbound-only verso CEON cloud (CEON-Security.png punto 5). Nessun inbound dall'Internet verso ATU. Remote support tramite VPN IPSec con tunnel end-to-end via mGuard come VPN server (Everllence_Standard_ATU-mGuard_Network_REV02.pdf): VPN-server mGuard, connection via VNC-server verso Engineering PC e Operation PC. Porte VPN: 500 UDP, 4500 UDP (NAT Traversal) verso 149.247.177.99 (firewall requirements). Continuous Risk Assessment con IDS/IPS (CEON-Security.png punto 6).
SCOPERTA RILEVANTE (evidenza fotografica IMG_6059.JPG, 23/02/2026):
Esiste un armadio dedicato 'RAC - REMOTE ACCESS CABINET' (MAN n. 4307373, riferimento documentale 4306569_4307373_RAC_20220628.pdf) con un SELETTORE A CHIAVE FISICO 'REMOTE ACCESS OFF/ON' a 3 posizioni sul fronte, in stile equivalente al 'service switch' Danelec.
FUNZIONAMENTO:
• Selettore a chiave: solo personale autorizzato di bordo (master/CCO) può ruotare la chiave per ABILITARE l'accesso remoto.
• LED 'REMOTE ACCESS READY' (verde): indica che il sistema è pronto per essere abilitato.
• LED 'REMOTE ACCESS CONNECTED': indica che è attiva una sessione remota in corso (visibilità all'equipaggio).
• Implicazione: il VPN IPSec verso la MAN office network NON può iniziare senza che il personale di bordo abbia FISICAMENTE abilitato il canale.
Questo è un meccanismo di approvazione esplicita strutturale, di alto livello, conforme a SR 1.13 RE1 e best practice IEC 62443 per controllo accessi remoti.
DA POLICY MAN ES 13.1: 'Remote access of users to systems or applications shall only be permitted by means of strong authentication' (sez. 5 punto 7). Combinato con il selettore fisico RAC 4307373 documentato fotograficamente, l'accesso remoto è doppiamente protetto: autenticazione robusta lato MAN + abilitazione fisica lato cliente.
DA POLICY MAN ES 13.1 Articolo 13 'Network security' punto (4): 'To allow networks with different security requirements to be connected, a risk analysis shall be conducted. Suitable processes shall be defined and documented on this basis. An approval process shall be established'. Punto (5): 'Access between different networks with different security levels shall be restricted. For the definition of permitted access options to internal resources, a zone concept shall be developed. Networks shall be separated logically according to their security requirements'. Punto (7): 'Remote access of users to systems or applications shall only be permitted by means of strong authentication'. Articolo 11 punto (4): 'Data and communication lines which transport confidential or strictly confidential information and/or data shall be safeguarded against interception and if necessary, connections shall be encrypted'.</t>
  </si>
  <si>
    <t>CEON-Security.png punti 5, 6
Everllence_Standard_ATU-mGuard_Network_REV02.pdf
2. Connectivity to CEON - Firewall requirements.pdf
IMG_6059.JPG (armadio RAC con selettore fisico)
4306569_4307373_RAC_20220628.pdf
(standard) MAN ES_13.1_en_Instruction_1.pdf (Group Policy Information Security, applicable as of 01/03/2023), sez. 5 punto (7)
(standard) MAN ES_13.1_en_Instruction_1.pdf, Art. 11 punto (4), Art. 13 punti (4),(5),(7)</t>
  </si>
  <si>
    <t>Architettura outbound-only verso CEON cloud + selettore fisico bordo per abilitazione VPN remota = controllo robusto su untrusted networks. Punto residuo di attenzione operativa: necessità di policy GNV chiara su CHI e QUANDO può ruotare la chiave del RAC.</t>
  </si>
  <si>
    <t>1) Definire policy GNV: chi è autorizzato a ruotare la chiave RAC (master, CCO, chief engineer)? 2) Procedura di registrazione/log delle sessioni di remote access abilitate (data/ora, motivazione, durata). 3) Verifica che lo stato della chiave sia visibile/auditabile (LED visibili da posto di guardia). 4) Conservazione/gestione fisica della chiave.</t>
  </si>
  <si>
    <t>Approvazione esplicita accessi</t>
  </si>
  <si>
    <t>SR 1.13 RE1</t>
  </si>
  <si>
    <t>VPN IPSec server su mGuard per remote support (Everllence_Standard_ATU-mGuard_Network_REV02.pdf). Procedura di approvazione esplicita non documentata.
SCOPERTA RILEVANTE (evidenza fotografica IMG_6059.JPG):
L'armadio 'RAC - REMOTE ACCESS CABINET' (MAN n. 4307373) implementa un meccanismo di approvazione esplicita PHYSICAL-LEVEL:
• Il selettore a chiave 'REMOTE ACCESS OFF/ON' richiede AZIONE FISICA del personale autorizzato a bordo per abilitare il canale.
• Senza chiave ruotata in posizione ON, il VPN IPSec verso MAN office network non è instaurabile.
• Equivalente al 'service switch' Danelec ma con interfaccia operatore più ricca (LED status, lamp test).
Il meccanismo è strutturale e pre-esistente all'analisi E27, conforme a IACS UR E27 SR 1.13 RE1.</t>
  </si>
  <si>
    <t>Everllence_Standard_ATU-mGuard_Network_REV02.pdf
IMG_6059.JPG (armadio RAC con selettore fisico)
4306569_4307373_RAC_20220628.pdf</t>
  </si>
  <si>
    <t>Approvazione esplicita garantita da meccanismo fisico (selettore a chiave su armadio RAC). Manca documentazione formale della procedura GNV: chi tiene la chiave, quando ruota in ON, log delle sessioni autorizzate.</t>
  </si>
  <si>
    <t>Definire procedura formale GNV: 1) Custodia chiave RAC (capitano? CCO?). 2) Log cartaceo o digitale di ogni sessione di remote access abilitata (data, ora, durata, motivo, chi ha autorizzato, chi ha richiesto da remoto). 3) Tempistiche standard (es. mai abilitato in continuo, solo durante intervento programmato).</t>
  </si>
  <si>
    <t>FR2 — Controllo degli accessi (untrusted)</t>
  </si>
  <si>
    <t>Terminazione sessione remota</t>
  </si>
  <si>
    <t>SR 2.7</t>
  </si>
  <si>
    <t>Aspetto non dettagliato esplicitamente nei documenti.
DA EVIDENZA FOTOGRAFICA + RAC DOCUMENT: il selettore a chiave del RAC 4307373 in posizione OFF interrompe fisicamente l'abilitazione del canale di accesso remoto. Una sessione attiva si chiude quando il selettore torna in OFF. DA POLICY MAN ES 13.1: 'Remote access of users to systems or applications shall only be permitted by means of strong authentication' = autenticazione robusta richiesta per ogni sessione, sessioni quindi non persistenti.</t>
  </si>
  <si>
    <t>(non trattato nei documenti disponibili)
4306569_4307373_RAC_20220628.pdf (Remote Access Cabinet schematics)
(standard) MAN ES_13.1_en_Instruction_1.pdf (Group Policy Information Security, applicable as of 01/03/2023), sez. 5 punto (7)
IMG_6059.JPG</t>
  </si>
  <si>
    <t>Terminazione sessione remota coperta multi-livello: (a) controllo fisico via selettore RAC OFF (4307373) interrompe il canale (foto IMG_6059.JPG); (b) MAN ES 13.1 Art. 19(1): 'after a set period user inactivity shall automatically result in a block' (auto-lock obbligatorio per inattività dove tecnicamente possibile); (c) MAN ES 13.1 Art. 13(7): 'Remote access only by means of strong authentication' (sessioni richiedono nuova auth, non persistenti).</t>
  </si>
  <si>
    <t>Verifica operativa: durante una sessione di service remoto MAN, riprodurre il flusso completo (apertura via RAC ON, sessione attiva, chiusura via RAC OFF) per documentare comportamento del canale.</t>
  </si>
  <si>
    <t>FR3 — Integrità del sistema (untrusted)</t>
  </si>
  <si>
    <t>Integrità crittografica comunicazioni</t>
  </si>
  <si>
    <t>SR 3.1 RE1</t>
  </si>
  <si>
    <t>TLS latest version per comunicazioni outbound + IPSec VPN per remote access. Encryption AES per data at rest e in transit. AWS KMS per key management (Security FAQ_v3.docx).</t>
  </si>
  <si>
    <t>Crittografia robusta per integrità comunicazioni anche su reti untrusted.</t>
  </si>
  <si>
    <t>Nessuna azione specifica.</t>
  </si>
  <si>
    <t>Validazione input</t>
  </si>
  <si>
    <t>SR 3.5</t>
  </si>
  <si>
    <t>Pentest 2025 (Recurity Labs, scope incluso PrimeServ Assist Mobile App, Web Apps, AWS Infrastructure) include test cases su Configuration Review e attack model. Validazione input parte standard del processo SDLC.
DA WHISTIC SIG LITE I.2.1: 'Is there a secure software development lifecycle policy that has been approved by management, communicated to appropriate constituents and has an owner to maintain it?' → YES.
DA WHISTIC I.3.1: 'Are security configuration standards documented for web server software?' → YES.
Dettaglio specifico input validation standards disponibile via Whistic N.0.4: 'Documentation related to its standards for requiring input validation for all internet facing web forms' → 'Available upon request'.
DA POLICY MAN ES 13.1 Articolo 27 'Procurement, development, and maintenance of information systems' punto (8): 'In the case of software that is developed internally or externally, the requirements of the Standard for Information Security and additional guiding principles shall be taken into account in the development process'. Punto (3): 'A catalogue of requirements shall be compiled at the pre-selection phase, to include the formulation of security requirements'. Punto (5): 'In the event that program errors occur during operation in spite of intensive acceptance tests, these shall be resolved as part of the incident/problem management and release management processes'.</t>
  </si>
  <si>
    <t>Pentest2025redacted.pdf
Final Certificate ISO/IEC 27001:2022
Cyber Security Questionnaires - Whistic - 2024.01.xlsx sez. I.2.1, I.3.1, N.0.4
(standard) MAN ES_13.1_en_Instruction_1.pdf, Art. 27 punti (3),(5),(8)</t>
  </si>
  <si>
    <t>Validazione input testata e coperta multi-livello: (a) 2 pentest documentati condotti da Recurity Labs GmbH (Mya CEON Security Assessment &amp; Retest, Project No. 507.2503, ottobre 2025, 110 pagine, scope Mobile App + Web Apps + AWS Infrastructure; API Services Retest, Project No. 241.2305, dicembre 2023, 45 pagine, 12 retested findings); (b) MAN ES 13.1 Art. 27(8): 'In the case of software that is developed internally or externally, the requirements of the Standard for Information Security and additional guiding principles shall be taken into account in the development process'; (c) Art. 31(4): 'Technical Information Security must be assessed by measures such as regular penetration tests'; (d) Whistic I.2.1: secure SDLC policy = YES; I.3.1: secure config web server = YES.</t>
  </si>
  <si>
    <t>Eventuale richiesta a MAN/Everllence: estratto pentest (executive summary anche aggregato) per evidenza categorie findings testate, incluse SQL injection / XSS / input validation specifici.</t>
  </si>
  <si>
    <t>Integrità sessione</t>
  </si>
  <si>
    <t>SR 3.8</t>
  </si>
  <si>
    <t>Sessioni Web UI CEON con TLS protetto + AWS-managed session security. Pentest 2025 include test su Mobile App e Web Apps con attack model definito.</t>
  </si>
  <si>
    <t>Architecture.png
Pentest2025redacted.pdf</t>
  </si>
  <si>
    <t>Integrità sessione coperta a livello principio: online business services CEON garantiscono authorization, authentication, confidentiality (MAN ES 13.1 Art. 17 punto 1) e integrity contro modifiche non autorizzate (Art. 17 punto 2). Pentest 2025 (Recurity Labs, scope Mobile App + Web Apps + AWS Infrastructure) testa session security. Dettaglio implementativo specifico (CSRF tokens, secure cookie flags HttpOnly/Secure/SameSite) non documentato esplicitamente nel set documentale.</t>
  </si>
  <si>
    <t>Eventuale chiarimento al fornitore: meccanismi specifici anti-CSRF, secure cookie flags, session token rotation su CEON Web UI.</t>
  </si>
  <si>
    <t>Invalidazione ID sessione al logout</t>
  </si>
  <si>
    <t>SR 3.8 RE1</t>
  </si>
  <si>
    <t>Aspetto non dettagliato esplicitamente.</t>
  </si>
  <si>
    <t>Sessione web protetta a livello principio: online business services CEON garantiscono authorization e authentication (MAN ES 13.1 Art. 17 punto 1). Logging eventi sicurezza per tracking (Art. 18 punto 1). Dettaglio implementativo specifico (logout server-side invalidation con revoca token / blacklist) non documentato esplicitamente.</t>
  </si>
  <si>
    <t>Eventuale chiarimento al fornitore: comportamento al logout su CEON Web UI (invalidation server-side, revoca token, blacklist).</t>
  </si>
  <si>
    <t>Sez. 3 — Documenti aggiuntivi</t>
  </si>
  <si>
    <t>3.1.1</t>
  </si>
  <si>
    <t>CBS Asset inventory</t>
  </si>
  <si>
    <t>SR 7.8</t>
  </si>
  <si>
    <t>Sistema MAN PrimeServ Assist (PSA) + CEON cloud, fornito da MAN Energy Solutions / Everllence. Sistema advisory di analisi performance motori 2-stroke.
ARCHITETTURA HARDWARE/SOFTWARE:
• Lato nave (PrimeServ Customer Site): CEON ATU = signal data acquisition device, hardware B&amp;R APC2200 industrial PC (Bernecker &amp; Rainer), OS Linux (Ubuntu Core minimal IoT) o Windows-based (varianti).
• Network nave: mGuard firewall/VPN + MAN Managed Switch 16-port + EMS computer (Engine Monitoring System).
• Lato cloud: CEON Backend AWS-hosted (region EU-Central 1, Frankfurt Germania).
• Frontend: CEON Web User Interface (web browser + mobile app) + Customer Applications via REST API.
INTERFACCE INDUSTRIALI:
• ATU acquisisce dati da Equipment Data Gateways / Control Systems via OPC UA, MQTT, Modbus TCP, S7 Protocol (Architecture.png + Everllence_Standard_ATU-mGuard_Network_REV02.pdf).
CONFIGURAZIONE PORTE MAN MANAGED SWITCH:
• Porta 1: mGuard LAN
• Porta 2: EMS computer
• Porta 3: MOP B (Main Operating Panel)
• Porta 4: PMI-DAU (PMI Data Acquisition Unit)
• Porta 5: ERCS (solo motori Tier III)
• Porta 6: AMS (Alarm Monitoring System)
COMPATIBILITÀ:
• MAN B&amp;W ME-C engines con EC-MOP ECS ≥ 1304-2.7
• ME-B engines con EC-MOP ECS ≥ 1403-1.12
• Tutti i dual fuel engines
• PMI-DAU 11 o superiore
RETE NAVE GNV (esempio):
• Switch GNV: VIR-DIS16-DK2-MVZ5, interface 3/1/21, MAC a8:74:1d:f2:2a:77, VLAN 1 (Network.txt)
• mGuard WAN connesso a VSAT switch (Internet via satellite)
PERIMETRO FLOTTA GNV: da censire nave per nave; sistema MAN PSA installato sulle navi che hanno motori MAN compatibili (tipicamente flotta nuova).
EVIDENZA FOTOGRAFICA INSTALLAZIONI A BORDO (foto del 23/02/2026):
ARMADIO 'RAC - REMOTE ACCESS CABINET' (MAN, n. 4307373, Rittal enclosure, IMG_6059.JPG):
• Pannello fronte armadio con interfaccia operatore dedicata.
• Selettore a chiave 'REMOTE ACCESS OFF/ON' a 3 posizioni — controllo fisico per abilitare/disabilitare il canale di accesso remoto MAN dal lato bordo.
• LED 'REMOTE ACCESS READY' (verde) - sistema pronto per accesso remoto.
• LED 'REMOTE ACCESS CONNECTED' (bianco/spento) - sessione remota attiva/non attiva.
• Pulsante 'LAMP TEST' per verifica funzionalità LED.
• Etichetta 'SL/ISO/HV Tested' (Short circuit / Insulation / High Voltage tested).
• Riferimento documentale: 4306569_4307373_RAC_20220628.pdf.
INSTALLAZIONE TIPO 1 (foto 20260223_163647.jpg + 20260223_163650.jpg, scattate il 23/02/2026 alle 16:36):
• Phoenix Contact mGuard rs4000 - S/N 3024009333, label 85D1.
• MAN Managed Switch (parte posteriore visibile, 5 porte connesse con cavi Ethernet verdi).
• Phoenix Contact alimentatore industriale 24-28V DC, label 85G1.
• Fusibili magnetotermici label 85F102 e 85F111 sulla DIN-rail superiore.
• Ventola di raffreddamento integrata armadio.
INSTALLAZIONE TIPO 2 (foto IMG_6050.JPG + IMG_6051.JPG + IMG_6053.JPG):
• Phoenix Contact mGuard rs4000 - S/N 3024007756, label 85D1 (postazione DIVERSA dalla Tipo 1).
• Weidmüller Ethernet Switch 8-port - label 85D2.
• Phoenix Contact QUINT POWER alimentatore - Output DC 24V 3.5A range 18-29.5V, Input AC 100-240V, label 85G1, con LED Boost OK + DC OK accesi.
• Relè Finder serie 55.34.x.024.0080 - label 85K1A.
• Magnetotermici ABB - label 85F1.
• Cavi etichettati: WAN (mGuard), MES, GN VZN PHNI BUF (cablaggio strutturato).
Le 2 installazioni TIPO 1 e TIPO 2 mostrano configurazioni hardware diverse:
• Tipo 1 sembra un'installazione standard MAN (managed switch MAN-branded).
• Tipo 2 ha switch Weidmüller (variante installativa) con power supply QUINT più sofisticato.</t>
  </si>
  <si>
    <t>3. PSA Installation Guide v1.5.pdf (architettura hardware + porte switch)
Architecture.png (overview componenti + flussi dati)
Everllence_Standard_ATU-mGuard_Network_REV02.pdf (rev. 02 del 04/06/2025)
B&amp;R_APC2200_UserManual_ENG_V2.02.pdf (manuale hardware ATU)
Network.txt (config switch GNV)
ISMS ATU Release Management.pdf (Ubuntu Core / Agent Shell / Agent Core)
Security FAQ_v3.docx (AWS region EU/Frankfurt)
20260223_163647.jpg + 20260223_163650.jpg + IMG_6050.JPG + IMG_6051.JPG + IMG_6053.JPG + IMG_6059.JPG (foto installazioni a bordo, 23/02/2026)</t>
  </si>
  <si>
    <t>Asset inventory documentato a livello prodotto. Manca asset inventory specifico GNV: lista navi su cui è installato MAN PSA, versione hardware/software per nave, configurazioni IP e VLAN specifiche.</t>
  </si>
  <si>
    <t>1) Richiedere a GNV (Loris Vosilla / Walter Piu): lista navi GNV con sistema MAN PSA installato. 2) Richiedere a MAN: lista navi GNV con dettagli software version, ATU hardware version, ECS firmware version. 3) Documentare configurazione IP/VLAN per ogni nave.</t>
  </si>
  <si>
    <t>3.1.9</t>
  </si>
  <si>
    <t>Management of change plan</t>
  </si>
  <si>
    <t>E22</t>
  </si>
  <si>
    <t>ATU Release Management policy formale (ISMS ATU Release Management.pdf):
• Planned releases ogni 2-3 mesi
• Ad-hoc releases per critical security vulnerabilities o bug critici
• Validazione completa nel Everllence Hardware Test Laboratory su tutte le varianti hardware
• Rollout in waves a tutti gli ATU connessi, monitorato da Everllence Operations
• Auto-registrazione e auto-update di nuovi ATU al primo collegamento
Componenti aggiornati: CEON Agent Shell, Agent Core, Ubuntu Core OS (snap packages dal Snap Store).
ISMS ISO 27001:2022 (ISMS-4181-01) implementa change management come parte dei controlli A.8.32.
DA WHISTIC SIG LITE G.2: 'Is there an operational Change Management/Change Control policy or program that has been documented, approved by management, communicated to constituents and has an owner to maintain and review it?' → YES.
DA WHISTIC CAIQ CCC-02.1: 'Is a defined quality change control, approval and testing process (with established baselines, testing, and release standards) followed?' → YES.
DA WHISTIC CAIQ CCC-06.1: 'Are change management baselines established for all relevant authorized changes on organizational assets?' → YES.
DA WHISTIC NIST PR.IP-3: 'Are configuration change control processes in place?' → YES.
Documentazione dettagliata change management procedures (G.0.1) e firewall rule change management (N.0.8) disponibili su richiesta.
DA POLICY MAN ES 13.1: 'Change management for internal IT services and services provided by external service providers shall always be performed in accordance with standardized change management process' (sez. 5 change management). 'Comprehensive release and change management process which shall include a defined procurement and approval process. Predetermined ordering regulations.' DA AWS SOC 2 Type II: change management AWS-side ben documentato per la piattaforma cloud sottostante CEON.
DA POLICY MAN ES 13.1 Articolo 21 'Change management for internal IT services and services provided by external service providers' punto (1): 'Changes to IT services or parts thereof (personnel, processes, hardware, and software) shall always be performed in accordance with standardized change management processes. All changes shall be documented'. Punto (2): 'In the case of changes, the effects on the corresponding business processes shall be analysed, evaluated, and documented as part of the IT risk management process'. Articolo 27 punto (1): 'comprehensive release and change management process which shall include a defined procurement and approval process'. Change management formalmente strutturato a 2 livelli: change tecnico (Art. 21) + procurement/development di nuovi sistemi (Art. 27).</t>
  </si>
  <si>
    <t>ISMS ATU Release Management.pdf
Final Certificate ISO/IEC 27001:2022 ISMS-4181-01
Cyber Security Questionnaires - Whistic - 2024.01.xlsx sez. G.2, CCC-02.1, CCC-06.1, PR.IP-3, G.0.1, N.0.8
(standard) MAN ES_13.1_en_Instruction_1.pdf (Group Policy Information Security, applicable as of 01/03/2023), sez. 5 change management
System_and_Organization_Controls_(SOC)_2_Report.pdf (AWS underlying infrastructure)
(standard) MAN ES_13.1_en_Instruction_1.pdf, Art. 21 punti (1),(2), Art. 27 punto (1)</t>
  </si>
  <si>
    <t>Change management formale e documentato. Cadenza release definita. Rollout monitorato. Hardware test lab dedicato.</t>
  </si>
  <si>
    <t>Richiedere a MAN: notifica preventiva al cliente prima di rollout release? Possibilità per il cliente di posticipare update in finestre operative critiche? Procedura emergency rollback se update fallisce.</t>
  </si>
  <si>
    <t>3.1.10</t>
  </si>
  <si>
    <t>Test reports</t>
  </si>
  <si>
    <t>—</t>
  </si>
  <si>
    <t>TRIPLICE CERTIFICAZIONE/ASSURANCE:
• Bureau Veritas SMARTSHIP Type Approval certificate 82605/A0 BV per Everllence CEON portal v2.57.1, valido fino al 10/12/2030 (SMARTSHIP software CEON.pdf, file MPA2503167, product code 0004H, emesso 10/12/2025 a Fredericia).
• ISO/IEC 27001:2022 ISMS-4181-01 (Final Certificate MAN Energy Solutions-4181-01.pdf), valido 22/11/2024-21/11/2027, scope: piattaforma MAN CEON.
• UK Cyber Essentials 2024-2025 (CyberEssentialsCertificate2025.pdf), scope multi-site Augsburg/Copenhagen/Frederikshavn/Holeby/Madrid/Stockport/Kintore/Redhill, esclusi production network.
• SOC 2 Type II report (System_and_Organization_Controls_(SOC)_2_Report.pdf) per AWS underlying infrastructure, periodo 01/10/2022-30/09/2023, criteri Security/Availability/Confidentiality/Privacy.
PENETRATION TESTING:
• Pentest 2025 condotto da Recurity Labs GmbH (Project No. 507.2503), report di 110 pagine (ottobre 2025), scope: PrimeServ Assist Mobile Application + Web Applications + AWS Infrastructure. Test plan strutturato con Documentation Integrity, Migration Remnant, Attack Model, Compare Preprod/Prod, IAC Integrity, Configuration Review.
• Pentest dichiarato continuo (CEON-Security.png punto 11): 'Dedicated cyber security teams perform regular black- and white hat assessments across the complete Everllence CEON architecture'.
CERTIFICAZIONI ISO MAN ES (qualità/ambiente/safety, valide al 26/06/2024): ISO 9001, ISO 14001, ISO 45001.
ALTRI DOCUMENTI:
• 4306569_4307373_RAC_20220628.pdf (Risk Assessment Conformity)
• T2489161 PDA approval_147491652.pdf + 24-2489161-PDA.pdf (Product Design Approval)
• Certificate_20230714.pdf</t>
  </si>
  <si>
    <t>SMARTSHIP software CEON.pdf (BV cert 82605/A0)
Final Certificate MAN Energy Solutions-4181-01.pdf (ISO 27001:2022)
CyberEssentialsCertificate2025.pdf + 25-26-CyberEssentials.pdf
System_and_Organization_Controls_(SOC)_2_Report.pdf
Pentest2025redacted.pdf (Recurity Labs)
ISO_9001 + ISO_14001 + ISO_45001
4306569_4307373_RAC_20220628.pdf
T2489161 PDA approval_147491652.pdf</t>
  </si>
  <si>
    <t>Test e certificazioni multiple e robuste. Coverage E27 SR 3.3 / SUM-1 / SM-* solida. Findings pentest redatti per confidenzialità ma esistenza test confermata.</t>
  </si>
  <si>
    <t>Richiedere a MAN/Everllence: estratto pentest 2025 (executive summary o lista categorie findings), conferma chiusura findings critici/high pre-rilascio, allineamento ABS CyberSafety Volume 7 (Security FAQ_v3.docx menziona certificazione).</t>
  </si>
  <si>
    <t>Sez. 5 — Secure Development Lifecycle (IEC 62443-4-1)</t>
  </si>
  <si>
    <t>5.1</t>
  </si>
  <si>
    <t>Controllo chiavi private</t>
  </si>
  <si>
    <t>SM-8</t>
  </si>
  <si>
    <t>Gestione chiavi crittografiche tramite AWS Key Management Service (KMS) con envelope encryption (Security FAQ_v3.docx, sez. 'How does MAN-CEON protect the cryptographic keys'). Master keys gestite da AWS, data keys cifrate da master key. KMS garantisce high availability per generation, storage, management.
DA WHISTIC CAIQ CEK-05.1: 'Are standard change management procedures established to review, approve, implement and communicate cryptography, encryption, and key management technology changes that accommodate internal and external sources?' → YES (CSC-Owned).</t>
  </si>
  <si>
    <t>Security FAQ_v3.docx (sez. Cryptographic keys protection)
Final Certificate ISO/IEC 27001:2022
Cyber Security Questionnaires - Whistic - 2024.01.xlsx sez. CEK-05.1</t>
  </si>
  <si>
    <t>AWS KMS è state-of-the-art per key management. Compliance ISO 27001 + SOC 2 Type II AWS.</t>
  </si>
  <si>
    <t>Richiedere a MAN: separation of duties per accesso a chiavi (chi può usarle vs chi può vederle), key rotation policy, customer-managed keys vs AWS-managed keys.</t>
  </si>
  <si>
    <t>5.2</t>
  </si>
  <si>
    <t>Documentazione aggiornamenti sicurezza</t>
  </si>
  <si>
    <t>SUM-2</t>
  </si>
  <si>
    <t>ATU Release Management policy include security vulnerabilities address come prima motivazione (ISMS ATU Release Management.pdf: 'ATU releases address security vulnerabilities, functional enhancements, and bug fixes'). Comunicazione customer di security advisory non dettagliata esplicitamente. Email contact: cybersecurity@man-es.com (CEON-Security.png).
DA WHISTIC SIG LITE J.1: 'Has management approved and communicated a Cybersecurity Incident Management Program with a designated owner to maintain and review it?' → YES.
DA WHISTIC J.4: 'Does the organization have a documented Incident Response Plan that outlines the escalation process?' → YES.
DA WHISTIC S.46: 'Is Cybersecurity Supply Chain Risk Management (C-SCRM) included in the incident response policy, procedures, and related C-SCRM Strategy/Implementation plan?' → YES.
DA WHISTIC CAIQ SEF-03.1: 'Is a security incident response plan that includes relevant internal departments, impacted CSCs, and other business-critical relationships (such as supply-chain) established, documented, approved, communicated, applied, evaluated, and maintained?' → YES.
Email security: cybersecurity@man-es.com (CEON-Security.png).
DA POLICY MAN ES 13.1: 'Security patch update, Software/Application version updates will be performed on timely manner to ensure technology security relevance' (sez. 5 patch management). Patch security a livello policy aziendale + Incident management process MAN ES 13.1: 'The handling of Information Security incidents shall be supported by a security incident management process defined and documented throughout the MAN ES Group, which defines the behaviour of employees, contract partners' (sez. 5 incident management).
DA POLICY MAN ES 13.1 Articolo 3 'To prevent and detect weaknesses and threats at an early stage' punto (1): 'The handling of Information Security incidents shall be supported by a security incident management process defined and documented throughout the MAN ES Group, which defines the behaviour of employees, contract partners, and third parties in the event of security weaknesses and security incidents and identification of potential hazards'. Punto (2): 'Each MAN ES Group Company shall ensure that the Group-wide procedure is implemented in accordance with the Policy Instruction 3 Information Security Incident Management to MAN ES 13.1. All employees must be instructed and trained in the procedure'. Esiste un Policy Instruction 3 specifico per Information Security Incident Management (citato come riferimento nell'Annex del MAN ES 13.1).</t>
  </si>
  <si>
    <t>ISMS ATU Release Management.pdf
CEON-Security.png (cybersecurity@man-es.com)
Cyber Security Questionnaires - Whistic - 2024.01.xlsx sez. J.1, J.4, S.46, SEF-03.1
(standard) MAN ES_13.1_en_Instruction_1.pdf (Group Policy Information Security, applicable as of 01/03/2023), sez. 5 patch management + incident management
(standard) MAN ES_13.1_en_Instruction_1.pdf, Art. 3 punti (1),(2) + Riferimento Policy Instruction 3</t>
  </si>
  <si>
    <t>Cybersecurity Incident Management Program documentato + Incident Response Plan formale + supply chain integration. Email contact: cybersecurity@man-es.com.</t>
  </si>
  <si>
    <t>Iscriversi/registrarsi presso il canale di security advisory MAN-ES per ricevere notifiche proattive delle vulnerabilità (richiesta a MAN via canale ufficiale).</t>
  </si>
  <si>
    <t>5.3</t>
  </si>
  <si>
    <t>Aggiornamenti componenti dipendenti</t>
  </si>
  <si>
    <t>SUM-3</t>
  </si>
  <si>
    <t>Ubuntu Core minimal IoT operating system con snap packages dal Snap Store (ISMS ATU Release Management.pdf). Snap Store fornisce automatic security updates per OS components confined. Ubuntu Core OS aggiornato come parte del rollout ATU release. Continuous Risk Assessment include vulnerability management technology (CEON-Security.png punto 6).
DA WHISTIC SIG LITE T.2: 'Does the organization maintain policies, standards, and procedures for identifying and managing cyber supply chain risks (i.e., ensuring software components are not maliciously crafted or vulnerable)?' → YES.
DA WHISTIC SIG LITE S.1: 'Does your organization have access control policies for suppliers, developers, and service providers that are passed down to sub-tier contractors?' → YES.
DA WHISTIC S.32, S.46, S.62: vari aspetti C-SCRM (Cybersecurity Supply Chain Risk Management) tutti YES.
Tuttavia: SBOM specifico (Software Bill of Materials) non disponibile esplicitamente nel questionario; richiedere a MAN come documento separato.</t>
  </si>
  <si>
    <t>ISMS ATU Release Management.pdf
CEON-Security.png punto 6
Cyber Security Questionnaires - Whistic - 2024.01.xlsx sez. T.2, S.1, S.32, S.46, S.62</t>
  </si>
  <si>
    <t>Componenti OS gestiti via Snap Store; componenti applicativi (Agent Shell, Agent Core) gestiti via release management MAN. SBOM (Software Bill of Materials) non condiviso esplicitamente.</t>
  </si>
  <si>
    <t>Richiedere a MAN/Everllence: SBOM completo (componenti open source, versioni, licenze), processo di tracking CVE per dipendenze.</t>
  </si>
  <si>
    <t>5.4</t>
  </si>
  <si>
    <t>Distribuzione aggiornamenti sicurezza</t>
  </si>
  <si>
    <t>SUM-4</t>
  </si>
  <si>
    <t>Distribuzione aggiornamenti automatica via cloud CEON: rollout in waves agli ATU connessi (ISMS ATU Release Management.pdf). Monitoring centralizzato Everllence Operations. Update fallback per ATU offline al primo collegamento. Snap packages firmati per OS Ubuntu Core. Agent Core / Agent Shell distribuiti via canale Everllence dedicato.
DA POLICY MAN ES 13.1: 'Updates of the antivirus software/malware code shall be initiated automatically on system start, shall download updates automatically where possible, and shall be prevented from being shut down by users' (sez. 5 antivirus). Update automatici prescritti a livello policy MAN.
DA POLICY MAN ES 13.1 Articolo 28 punto (1): 'It shall be possible to obtain and evaluate information concerning technical weaknesses in the systems and applications used at MAN ES in a timely manner'. Punto (3): 'Security patch update, Software/Application version updates will be performed on timely manner to ensure technology security relevance weaknesses are properly mitigated and systems are secured from cyber-attacks'. Patch management policy formale a livello aziendale MAN.</t>
  </si>
  <si>
    <t>ISMS ATU Release Management.pdf
(standard) MAN ES_13.1_en_Instruction_1.pdf (Group Policy Information Security, applicable as of 01/03/2023), sez. 5 antivirus updates
(standard) MAN ES_13.1_en_Instruction_1.pdf, Art. 28 punti (1),(3)</t>
  </si>
  <si>
    <t>Distribuzione aggiornamenti centralizzata, monitorata, con auto-recovery. Coverage SUM-4 solida.</t>
  </si>
  <si>
    <t>Richiedere a MAN: firma digitale verificata su Agent Core / Shell durante installazione, integrità verificata al boot, signing key infrastructure.</t>
  </si>
  <si>
    <t>5.5</t>
  </si>
  <si>
    <t>Defence in depth del prodotto</t>
  </si>
  <si>
    <t>SG-1</t>
  </si>
  <si>
    <t>Architettura defence in depth multipla:
• Hardened Device DNV certified (perimetro fisico/logico)
• Wireless/USB/SSH disabilitati (riduzione superficie attacco)
• Outbound-only protocols (no inbound exposure)
• TLS latest version + AES encryption (data protection)
• AWS KMS envelope encryption (key management)
• ISMS ISO 27001:2022 (governance)
• Cyber Essentials + ABS CyberSafety Vol. 7 + ISO 27001 (multi-certification)
• Continuous pentest (test offensivi)
• Real-time monitoring + IDS/IPS (detection)
• Anomaly detection + incident response (response)
• Asset-based access control + need-to-know + granular authorization (zero trust principles)</t>
  </si>
  <si>
    <t>CEON-Security.png (11 punti chiave sicurezza)
Security FAQ_v3.docx
Final Certificate ISO/IEC 27001:2022</t>
  </si>
  <si>
    <t>Defence in depth ben articolata e documentata. Approccio mature.</t>
  </si>
  <si>
    <t>5.6</t>
  </si>
  <si>
    <t>Defence in depth ambiente esterno</t>
  </si>
  <si>
    <t>SG-2</t>
  </si>
  <si>
    <t>Documentazione completa per il deployment lato cliente:
• Architettura mGuard come perimetro firewall di bordo (Everllence_Standard_ATU-mGuard_Network_REV02.pdf)
• Firewall requirements espliciti: porte e IP destinazione documentati ('2. Connectivity to CEON - Firewall requirements.pdf' Tabella 1)
• Network overview con segregazione Ship Network ↔ Engine LAN ('1. Network overview for CEON connectivity.pdf')
• Connectivity checklist per integrazione mGuard + ATU + DLM (Everllence_connectivity_checklist_*.pdf)
• Outbound-only protocols (CEON-Security.png punto 5)
• PSA Installation Guide v1.5 con dettaglio porte switch + IP + cabling
Documentazione di integrazione cliente molto solida e dettagliata.</t>
  </si>
  <si>
    <t>Everllence_Standard_ATU-mGuard_Network_REV02.pdf
2. Connectivity to CEON - Firewall requirements.pdf
1. Network overview for CEON connectivity.pdf
Everllence_connectivity_checklist_PSA_*.pdf (3 documenti checklist)
3. PSA Installation Guide v1.5.pdf</t>
  </si>
  <si>
    <t>Documentazione di defence-in-depth lato ambiente esterno cliente eccellente. Tra i migliori della flotta GNV E27.</t>
  </si>
  <si>
    <t>Verifica nave per nave: rispetto integrale delle connectivity checklist Everllence durante installazione GNV.</t>
  </si>
  <si>
    <t>5.7</t>
  </si>
  <si>
    <t>Hardening guidelines</t>
  </si>
  <si>
    <t>SG-3</t>
  </si>
  <si>
    <t>Hardening eseguito by MAN/Everllence sull'ATU: 'Hardened Device DNV certified' (CEON-Security.png punto 1). Nessuna procedura di hardening cliente documentata, perché il dispositivo è consegnato hardened. ISMS ISO 27001 implementa hardening guidelines come parte dei controlli A.8.9.
Hardware B&amp;R APC2200 con BIOS configurabile (manuale B&amp;R_APC2200_UserManual_ENG_V2.02.pdf, ~14 MB di documentazione tecnica).
DA POLICY MAN ES 13.1: 'A secure configuration shall be defined as part of system hardening for business critical systems. Those shall be used as basis for a secure installation' (sez. 5 secure configuration). Hardening guidelines a livello policy formale MAN.
DA POLICY MAN ES 13.1 Articolo 24 'To procure systems on the basis of defined criteria' punto (2): 'A secure configuration shall be defined as part of system hardening for business critical systems. Those shall be used as basis for a secure installation and serve as a checklist for monitoring'. L'ATU CEON è un business critical system di MAN ES, quindi soggetto a hardening checklist e monitoraggio formale.</t>
  </si>
  <si>
    <t>CEON-Security.png punto 1
B&amp;R_APC2200_UserManual_ENG_V2.02.pdf
Final Certificate ISO/IEC 27001:2022
(standard) MAN ES_13.1_en_Instruction_1.pdf (Group Policy Information Security, applicable as of 01/03/2023), sez. 5 secure configuration
(standard) MAN ES_13.1_en_Instruction_1.pdf, Art. 24 punto (2)</t>
  </si>
  <si>
    <t>Hardening fornitore-managed con DNV certification. Cliente non ha responsabilità di hardening sull'ATU.</t>
  </si>
  <si>
    <t>Richiedere a MAN: documento formale dei controlli di hardening applicati (CIS Benchmark? STIG? checklist proprietaria?), evidenze BIOS lock B&amp;R APC2200, eventuali eccezioni documentate.</t>
  </si>
  <si>
    <t>NON CONFORME</t>
  </si>
  <si>
    <t>DA VERIFICARE</t>
  </si>
  <si>
    <t>Riepilogo — Analisi E27 MAN Stability / Loading Computer / Fleet Intelligence</t>
  </si>
  <si>
    <t>CONTEGGIO AUTOMATICO STATO (aggiornamento dinamico dal foglio Analisi)</t>
  </si>
  <si>
    <t>Conteggio</t>
  </si>
  <si>
    <t>Totale</t>
  </si>
  <si>
    <t>Percentuale</t>
  </si>
  <si>
    <t>N/A</t>
  </si>
  <si>
    <t>TOTALE</t>
  </si>
  <si>
    <t>DETTAGLIO PER ITEM (stato e priorità aggiornati automaticamente dal foglio Analisi)</t>
  </si>
  <si>
    <t>Item</t>
  </si>
  <si>
    <t>Controllo</t>
  </si>
  <si>
    <t>Sezione 4.1 — System Requirements (30 controlli base)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</si>
  <si>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</si>
  <si>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</si>
  <si>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</si>
  <si>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</si>
  <si>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</si>
  <si>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</si>
  <si>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</si>
  <si>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</si>
  <si>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</si>
  <si>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</si>
  <si>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</si>
  <si>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</si>
  <si>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</si>
  <si>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</si>
  <si>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</si>
  <si>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</si>
  <si>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</si>
  <si>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</si>
  <si>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</si>
  <si>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</si>
  <si>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</si>
  <si>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</si>
  <si>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</si>
  <si>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</si>
  <si>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</si>
  <si>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</si>
  <si>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</si>
  <si>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</si>
  <si>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</si>
  <si>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</si>
  <si>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Sezione 4.2 — Additional Security Capabilities (11 controlli untrusted)</t>
  </si>
  <si>
    <t>31</t>
  </si>
  <si>
    <t>32</t>
  </si>
  <si>
    <t>33</t>
  </si>
  <si>
    <t>34</t>
  </si>
  <si>
    <t>35</t>
  </si>
  <si>
    <t>36</t>
  </si>
  <si>
    <t>37</t>
  </si>
  <si>
    <t>38</t>
  </si>
  <si>
    <t>39</t>
  </si>
  <si>
    <t>40</t>
  </si>
  <si>
    <t>41</t>
  </si>
  <si>
    <t>Sezione 3 — Documenti aggiuntivi</t>
  </si>
  <si>
    <t>Sezione 5 — Secure Development Lifecycle (IEC 62443-4-1)</t>
  </si>
  <si>
    <t xml:space="preserve"> HWG Sababa — Aprile 2026 (v0.0.3) | Fonti: 3. PSA Installation Guide v1.5.pdf (giugno 2023, MAN PrimeServ Digital Denmark), 1. Network overview for CEON connectivity.pdf, 2. Connectivity to CEON - Firewall requirements.pdf (set-up instruction 6097175-5, rev. 02 ott 2022), Everllence_Standard_ATU-mGuard_Network_REV02.pdf (rev. 02 del 04/06/2025, SAP Nr. 10004096219), Everllence_connectivity_checklist_PSA_ATU_REV02.pdf, Everllence_connectivity_checklist_PSA_mGuard_ATU.pdf, Everllence_connectivity_checklist_PSA_mGuard_DLM.pdf, connectivity_checklist_PSA_mGuard_DLM_V3.pdf, Architecture.png, CEON-Security.png, infographic.png, Network.txt (config switch nave: VLAN 1, MAC a8:74:1d:f2:2a:77, switch VIR-DIS16-DK2-MVZ5 interface 3/1/21), Pentest2025redacted.pdf (Mya CEON Security Assessment &amp; Retest, Project No. 507.2503, Recurity Labs GmbH, ottobre 2025, 110 pagine totali, scope: PrimeServ Assist Mobile App + Web Apps + AWS Infrastructure), Cyber Security Questionnaires - Whistic - 2024.01.xlsx (questionario standard MAN ES, response del 01/07/2024, 577 Q&amp;A su 3 framework: SIG Lite Shared Assessment 351 Q&amp;A, CAIQ Lite CSA Cloud 130 Q&amp;A, NIST CSF 114 Q&amp;A), RedactedPentest.pdf (API Services Retest, Project No. 241.2305, Recurity Labs GmbH, dicembre 2023, 45 pagine totali, 12 retested findings ai capitoli 3.1-3.12)., Security FAQ_v3.docx (FAQ ufficiali MAN-CEON Data Security, Privacy and Compliance), ISMS ATU Release Management.pdf (release management policy CEON ATU/Agent Shell/Agent Core/Ubuntu Core), B&amp;R_APC2200_UserManual_ENG_V2.02.pdf (manuale hardware ATU - PC Bernecker &amp; Rainer), (standard) MAN ES_13.1_en_Instruction_1.pdf (manuale operativo standard MAN ES), SMARTSHIP software CEON.pdf (Bureau Veritas Type Approval certificate 82605/A0 per Everllence CEON portal v2.57.1, valido fino al 10/12/2030), Final Certificate MAN Energy Solutions-4181-01.pdf (ISO/IEC 27001:2022 ISMS-4181-01, scope MAN CEON platform, valido 22/11/2024-21/11/2027), CyberEssentialsCertificate2025.pdf + 25-26-CyberEssentials.pdf (UK Cyber Essentials, scope multi-site Augsburg/Copenhagen/Frederikshavn/Holeby/Madrid/Stockport/Kintore/Redhill), System_and_Organization_Controls_(SOC)_2_Report.pdf (SOC 2 Type II AWS underlying infrastructure, periodo 01/10/2022-30/09/2023), 4306569_4307373_RAC_20220628.pdf, T2489161 PDA approval_147491652.pdf, 24-2489161-PDA.pdf, Certificate_20230714.pdf, ISO_9001 + ISO_14001 + ISO_45001 (certificazioni gestione qualità/ambiente/safety MAN ES, valide al 26/06/2024). FOTO ARMADI INSTALLAZIONE A BORDO (MAN pt.2): 20260223_163647.jpg + 20260223_163650.jpg (close-up mGuard rs4000 S/N 3024009333 label 85D1 con switch managed MAN, alimentatore Phoenix Contact 85G1 e fusibili 85F102/85F111, scattate il 23/02/2026 alle 16:36:47 e 16:36:50), IMG_6050.JPG + IMG_6051.JPG + IMG_6053.JPG (postazione differente: mGuard rs4000 S/N 3024007756 label 85D1 con Weidmüller Ethernet Switch 85D2, Phoenix Contact QUINT POWER 85G1 24V 3.5A, relè Finder K3204, magnetotermici ABB 85F1, cavi etichettati MES/PHNI BUF/GN VZN), IMG_6059.JPG (armadio MAN 'RAC - REMOTE ACCESS CABINET' n. 4307373, Rittal enclosure, fronte armadio con LED 'REMOTE ACCESS READY' verde acceso, LED 'REMOTE ACCESS CONNECTED' bianco, SELETTORE A CHIAVE 'REMOTE ACCESS OFF/ON' a 3 posizioni e pulsante 'LAMP TEST'). Per i criteri di classificazione stati, vedere foglio 'Legenda'.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</si>
</sst>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2"/>
      <color rgb="FFFFFFFF"/>
      <name val="Arial"/>
      <family val="2"/>
    </font>
    <font>
      <b/>
      <sz val="10"/>
      <color rgb="FF000000"/>
      <name val="Arial"/>
      <family val="2"/>
    </font>
    <font>
      <b/>
      <sz val="11"/>
      <color rgb="FFFFFFFF"/>
      <name val="Arial"/>
      <family val="2"/>
    </font>
    <font>
      <b/>
      <sz val="9"/>
      <color rgb="FF000000"/>
      <name val="Arial"/>
      <family val="2"/>
    </font>
    <font>
      <b/>
      <sz val="16"/>
      <color rgb="FFFFFFFF"/>
      <name val="Arial"/>
      <family val="2"/>
    </font>
    <font>
      <b/>
      <sz val="10"/>
      <name val="Arial"/>
      <family val="2"/>
    </font>
    <font>
      <sz val="10"/>
      <name val="Arial"/>
      <family val="2"/>
    </font>
    <font>
      <b/>
      <sz val="10"/>
      <color rgb="FFFFFFFF"/>
      <name val="Arial"/>
      <family val="2"/>
    </font>
    <font>
      <sz val="10"/>
      <color rgb="FF000000"/>
      <name val="Arial"/>
      <family val="2"/>
    </font>
    <font>
      <i/>
      <sz val="7"/>
      <color rgb="FF666666"/>
      <name val="Arial"/>
      <family val="2"/>
    </font>
    <font>
      <b/>
      <sz val="8"/>
      <color rgb="FF1F3864"/>
      <name val="Arial"/>
      <family val="2"/>
    </font>
    <font>
      <b/>
      <sz val="8"/>
      <color rgb="FF000000"/>
      <name val="Arial"/>
      <family val="2"/>
    </font>
    <font>
      <b/>
      <sz val="9"/>
      <color rgb="FFFFFFFF"/>
      <name val="Arial"/>
      <family val="2"/>
    </font>
    <font>
      <sz val="8"/>
      <color rgb="FF333333"/>
      <name val="Arial"/>
      <family val="2"/>
    </font>
    <font>
      <i/>
      <sz val="7"/>
      <color rgb="FF555555"/>
      <name val="Arial"/>
      <family val="2"/>
    </font>
    <font>
      <sz val="9"/>
      <color rgb="FF333333"/>
      <name val="Arial"/>
      <family val="2"/>
    </font>
  </fonts>
  <fills count="11">
    <fill>
      <patternFill patternType="none"/>
    </fill>
    <fill>
      <patternFill patternType="gray125"/>
    </fill>
    <fill>
      <patternFill patternType="solid">
        <fgColor rgb="FF1F3864"/>
      </patternFill>
    </fill>
    <fill>
      <patternFill patternType="solid">
        <fgColor rgb="FFD9D9D9"/>
      </patternFill>
    </fill>
    <fill>
      <patternFill patternType="solid">
        <fgColor rgb="FF2E75B6"/>
      </patternFill>
    </fill>
    <fill>
      <patternFill patternType="solid">
        <fgColor rgb="FFFFF2CC"/>
      </patternFill>
    </fill>
    <fill>
      <patternFill patternType="solid">
        <fgColor rgb="FFC6EFCE"/>
      </patternFill>
    </fill>
    <fill>
      <patternFill patternType="solid">
        <fgColor rgb="FFFFC7CE"/>
      </patternFill>
    </fill>
    <fill>
      <patternFill patternType="solid">
        <fgColor rgb="FFD9E2F3"/>
      </patternFill>
    </fill>
    <fill>
      <patternFill patternType="solid">
        <fgColor rgb="FF5B9BD5"/>
      </patternFill>
    </fill>
    <fill>
      <patternFill patternType="solid">
        <fgColor rgb="FFFFE699"/>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33">
    <xf numFmtId="0" fontId="0" fillId="0" borderId="0" xfId="0"/>
    <xf numFmtId="0" fontId="2" fillId="3" borderId="1" xfId="0" applyFont="1" applyFill="1" applyBorder="1" applyAlignment="1">
      <alignment horizontal="center" vertical="center" wrapText="1"/>
    </xf>
    <xf numFmtId="0" fontId="6" fillId="3" borderId="0" xfId="0" applyFont="1" applyFill="1" applyAlignment="1">
      <alignment horizontal="center" vertical="center"/>
    </xf>
    <xf numFmtId="0" fontId="7" fillId="0" borderId="0" xfId="0" applyFont="1" applyAlignment="1">
      <alignment horizontal="center"/>
    </xf>
    <xf numFmtId="0" fontId="6" fillId="6" borderId="0" xfId="0" applyFont="1" applyFill="1"/>
    <xf numFmtId="164" fontId="7" fillId="0" borderId="0" xfId="0" applyNumberFormat="1" applyFont="1" applyAlignment="1">
      <alignment horizontal="center"/>
    </xf>
    <xf numFmtId="0" fontId="6" fillId="5" borderId="0" xfId="0" applyFont="1" applyFill="1"/>
    <xf numFmtId="0" fontId="6" fillId="7" borderId="0" xfId="0" applyFont="1" applyFill="1"/>
    <xf numFmtId="0" fontId="6" fillId="8" borderId="0" xfId="0" applyFont="1" applyFill="1"/>
    <xf numFmtId="0" fontId="6" fillId="3" borderId="0" xfId="0" applyFont="1" applyFill="1"/>
    <xf numFmtId="0" fontId="6" fillId="3" borderId="0" xfId="0" applyFont="1" applyFill="1" applyAlignment="1">
      <alignment horizontal="center"/>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6" fillId="10" borderId="0" xfId="0" applyFont="1" applyFill="1"/>
    <xf numFmtId="0" fontId="4" fillId="0" borderId="0" xfId="0" applyFont="1" applyAlignment="1">
      <alignment horizontal="center" vertical="top" wrapText="1"/>
    </xf>
    <xf numFmtId="0" fontId="3" fillId="0" borderId="0" xfId="0" applyFont="1" applyAlignment="1">
      <alignment horizontal="left" vertical="top" wrapText="1"/>
    </xf>
    <xf numFmtId="0" fontId="9" fillId="0" borderId="0" xfId="0" applyFont="1" applyAlignment="1">
      <alignment horizontal="left" vertical="top"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2" fillId="5"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left" vertical="top" wrapText="1"/>
    </xf>
    <xf numFmtId="0" fontId="13" fillId="4" borderId="0" xfId="0" applyFont="1" applyFill="1" applyAlignment="1">
      <alignment horizontal="left" vertical="center" wrapText="1"/>
    </xf>
    <xf numFmtId="0" fontId="0" fillId="0" borderId="0" xfId="0"/>
    <xf numFmtId="0" fontId="10" fillId="0" borderId="0" xfId="0" applyFont="1" applyAlignment="1">
      <alignment horizontal="center" vertical="center" wrapText="1"/>
    </xf>
    <xf numFmtId="0" fontId="1" fillId="2" borderId="0" xfId="0" applyFont="1" applyFill="1" applyAlignment="1">
      <alignment horizontal="center" vertical="center" wrapText="1"/>
    </xf>
    <xf numFmtId="0" fontId="3" fillId="4" borderId="0" xfId="0" applyFont="1" applyFill="1" applyAlignment="1">
      <alignment horizontal="center" vertical="center"/>
    </xf>
    <xf numFmtId="0" fontId="8" fillId="9" borderId="0" xfId="0" applyFont="1" applyFill="1" applyAlignment="1">
      <alignment horizontal="left" vertical="center"/>
    </xf>
    <xf numFmtId="0" fontId="5" fillId="4" borderId="0" xfId="0" applyFont="1" applyFill="1" applyAlignment="1">
      <alignment horizontal="center" vertical="center"/>
    </xf>
  </cellXfs>
  <cellStyles count="1">
    <cellStyle name="Normale" xfId="0" builtinId="0"/>
  </cellStyles>
  <dxfs count="8">
    <dxf>
      <font>
        <b/>
        <sz val="9"/>
        <color rgb="FF000000"/>
        <name val="Arial"/>
      </font>
      <fill>
        <patternFill patternType="solid">
          <fgColor rgb="FFC6EFCE"/>
        </patternFill>
      </fill>
    </dxf>
    <dxf>
      <font>
        <b/>
        <sz val="9"/>
        <color rgb="FF000000"/>
        <name val="Arial"/>
      </font>
      <fill>
        <patternFill patternType="solid">
          <fgColor rgb="FFFFF2CC"/>
        </patternFill>
      </fill>
    </dxf>
    <dxf>
      <font>
        <b/>
        <sz val="9"/>
        <color rgb="FF000000"/>
        <name val="Arial"/>
      </font>
      <fill>
        <patternFill patternType="solid">
          <fgColor rgb="FFFFC7CE"/>
        </patternFill>
      </fill>
    </dxf>
    <dxf>
      <font>
        <b/>
        <sz val="9"/>
        <color rgb="FF000000"/>
        <name val="Arial"/>
      </font>
      <fill>
        <patternFill patternType="solid">
          <fgColor rgb="FFD9E2F3"/>
        </patternFill>
      </fill>
    </dxf>
    <dxf>
      <font>
        <b/>
        <sz val="9"/>
        <color rgb="FF000000"/>
        <name val="Arial"/>
      </font>
      <fill>
        <patternFill patternType="solid">
          <fgColor rgb="FFFFE699"/>
        </patternFill>
      </fill>
    </dxf>
    <dxf>
      <font>
        <b/>
        <sz val="9"/>
        <color rgb="FF000000"/>
        <name val="Arial"/>
      </font>
      <fill>
        <patternFill patternType="solid">
          <fgColor rgb="FFFFC7CE"/>
        </patternFill>
      </fill>
    </dxf>
    <dxf>
      <font>
        <b/>
        <sz val="9"/>
        <color rgb="FF000000"/>
        <name val="Arial"/>
      </font>
      <fill>
        <patternFill patternType="solid">
          <fgColor rgb="FFFFF2CC"/>
        </patternFill>
      </fill>
    </dxf>
    <dxf>
      <font>
        <b/>
        <sz val="9"/>
        <color rgb="FF0000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workbookViewId="0">
      <pane ySplit="3" topLeftCell="A20" activePane="bottomLeft" state="frozen"/>
      <selection pane="bottomLeft" activeCell="E42" sqref="E42"/>
    </sheetView>
  </sheetViews>
  <sheetFormatPr defaultRowHeight="14.4" x14ac:dyDescent="0.3"/>
  <cols>
    <col min="1" max="1" width="5" customWidth="1"/>
    <col min="2" max="2" width="18" customWidth="1"/>
    <col min="3" max="3" width="9" customWidth="1"/>
    <col min="4" max="4" width="45" customWidth="1"/>
    <col min="5" max="5" width="23.44140625" customWidth="1"/>
    <col min="6" max="6" width="17" customWidth="1"/>
    <col min="7" max="8" width="35" customWidth="1"/>
    <col min="9" max="9" width="10" customWidth="1"/>
  </cols>
  <sheetData>
    <row r="1" spans="1:9" ht="31.95" customHeight="1" x14ac:dyDescent="0.3">
      <c r="A1" s="29" t="s">
        <v>0</v>
      </c>
      <c r="B1" s="27"/>
      <c r="C1" s="27"/>
      <c r="D1" s="27"/>
      <c r="E1" s="27"/>
      <c r="F1" s="27"/>
      <c r="G1" s="27"/>
      <c r="H1" s="27"/>
      <c r="I1" s="27"/>
    </row>
    <row r="2" spans="1:9" ht="67.95" customHeight="1" x14ac:dyDescent="0.3">
      <c r="A2" s="28" t="s">
        <v>397</v>
      </c>
      <c r="B2" s="27"/>
      <c r="C2" s="27"/>
      <c r="D2" s="27"/>
      <c r="E2" s="27"/>
      <c r="F2" s="27"/>
      <c r="G2" s="27"/>
      <c r="H2" s="27"/>
      <c r="I2" s="27"/>
    </row>
    <row r="3" spans="1:9" ht="28.05" customHeight="1" x14ac:dyDescent="0.3">
      <c r="A3" s="18" t="s">
        <v>1</v>
      </c>
      <c r="B3" s="18" t="s">
        <v>2</v>
      </c>
      <c r="C3" s="18" t="s">
        <v>3</v>
      </c>
      <c r="D3" s="18" t="s">
        <v>4</v>
      </c>
      <c r="E3" s="18" t="s">
        <v>5</v>
      </c>
      <c r="F3" s="19" t="s">
        <v>6</v>
      </c>
      <c r="G3" s="18" t="s">
        <v>7</v>
      </c>
      <c r="H3" s="18" t="s">
        <v>8</v>
      </c>
      <c r="I3" s="1" t="s">
        <v>9</v>
      </c>
    </row>
    <row r="4" spans="1:9" ht="22.05" customHeight="1" x14ac:dyDescent="0.3">
      <c r="A4" s="26" t="s">
        <v>10</v>
      </c>
      <c r="B4" s="27"/>
      <c r="C4" s="27"/>
      <c r="D4" s="27"/>
      <c r="E4" s="27"/>
      <c r="F4" s="27"/>
      <c r="G4" s="27"/>
      <c r="H4" s="27"/>
      <c r="I4" s="27"/>
    </row>
    <row r="5" spans="1:9" ht="139.94999999999999" customHeight="1" x14ac:dyDescent="0.3">
      <c r="A5" s="20">
        <v>1</v>
      </c>
      <c r="B5" s="20" t="s">
        <v>11</v>
      </c>
      <c r="C5" s="20" t="s">
        <v>12</v>
      </c>
      <c r="D5" s="20" t="s">
        <v>13</v>
      </c>
      <c r="E5" s="21" t="s">
        <v>14</v>
      </c>
      <c r="F5" s="23" t="s">
        <v>15</v>
      </c>
      <c r="G5" s="20" t="s">
        <v>16</v>
      </c>
      <c r="H5" s="20" t="s">
        <v>17</v>
      </c>
      <c r="I5" s="12" t="s">
        <v>18</v>
      </c>
    </row>
    <row r="6" spans="1:9" ht="139.94999999999999" customHeight="1" x14ac:dyDescent="0.3">
      <c r="A6" s="20">
        <v>2</v>
      </c>
      <c r="B6" s="20" t="s">
        <v>19</v>
      </c>
      <c r="C6" s="20" t="s">
        <v>20</v>
      </c>
      <c r="D6" s="20" t="s">
        <v>21</v>
      </c>
      <c r="E6" s="21" t="s">
        <v>22</v>
      </c>
      <c r="F6" s="23" t="s">
        <v>15</v>
      </c>
      <c r="G6" s="20" t="s">
        <v>23</v>
      </c>
      <c r="H6" s="20" t="s">
        <v>24</v>
      </c>
      <c r="I6" s="12" t="s">
        <v>18</v>
      </c>
    </row>
    <row r="7" spans="1:9" ht="139.94999999999999" customHeight="1" x14ac:dyDescent="0.3">
      <c r="A7" s="20">
        <v>3</v>
      </c>
      <c r="B7" s="20" t="s">
        <v>25</v>
      </c>
      <c r="C7" s="20" t="s">
        <v>26</v>
      </c>
      <c r="D7" s="20" t="s">
        <v>27</v>
      </c>
      <c r="E7" s="21" t="s">
        <v>28</v>
      </c>
      <c r="F7" s="23" t="s">
        <v>15</v>
      </c>
      <c r="G7" s="20" t="s">
        <v>29</v>
      </c>
      <c r="H7" s="20" t="s">
        <v>30</v>
      </c>
      <c r="I7" s="12" t="s">
        <v>18</v>
      </c>
    </row>
    <row r="8" spans="1:9" ht="139.94999999999999" customHeight="1" x14ac:dyDescent="0.3">
      <c r="A8" s="20">
        <v>4</v>
      </c>
      <c r="B8" s="20" t="s">
        <v>31</v>
      </c>
      <c r="C8" s="20" t="s">
        <v>32</v>
      </c>
      <c r="D8" s="20" t="s">
        <v>33</v>
      </c>
      <c r="E8" s="21" t="s">
        <v>34</v>
      </c>
      <c r="F8" s="22" t="s">
        <v>35</v>
      </c>
      <c r="G8" s="20" t="s">
        <v>36</v>
      </c>
      <c r="H8" s="20" t="s">
        <v>37</v>
      </c>
      <c r="I8" s="11" t="s">
        <v>38</v>
      </c>
    </row>
    <row r="9" spans="1:9" ht="139.94999999999999" customHeight="1" x14ac:dyDescent="0.3">
      <c r="A9" s="20">
        <v>5</v>
      </c>
      <c r="B9" s="20" t="s">
        <v>39</v>
      </c>
      <c r="C9" s="20" t="s">
        <v>40</v>
      </c>
      <c r="D9" s="20" t="s">
        <v>41</v>
      </c>
      <c r="E9" s="21" t="s">
        <v>42</v>
      </c>
      <c r="F9" s="23" t="s">
        <v>15</v>
      </c>
      <c r="G9" s="20" t="s">
        <v>43</v>
      </c>
      <c r="H9" s="20" t="s">
        <v>44</v>
      </c>
      <c r="I9" s="12" t="s">
        <v>18</v>
      </c>
    </row>
    <row r="10" spans="1:9" ht="139.94999999999999" customHeight="1" x14ac:dyDescent="0.3">
      <c r="A10" s="20">
        <v>6</v>
      </c>
      <c r="B10" s="20" t="s">
        <v>45</v>
      </c>
      <c r="C10" s="20" t="s">
        <v>46</v>
      </c>
      <c r="D10" s="20" t="s">
        <v>47</v>
      </c>
      <c r="E10" s="21" t="s">
        <v>48</v>
      </c>
      <c r="F10" s="22" t="s">
        <v>35</v>
      </c>
      <c r="G10" s="20" t="s">
        <v>49</v>
      </c>
      <c r="H10" s="20" t="s">
        <v>50</v>
      </c>
      <c r="I10" s="11" t="s">
        <v>38</v>
      </c>
    </row>
    <row r="11" spans="1:9" ht="139.94999999999999" customHeight="1" x14ac:dyDescent="0.3">
      <c r="A11" s="20">
        <v>7</v>
      </c>
      <c r="B11" s="20" t="s">
        <v>51</v>
      </c>
      <c r="C11" s="20" t="s">
        <v>52</v>
      </c>
      <c r="D11" s="20" t="s">
        <v>53</v>
      </c>
      <c r="E11" s="21" t="s">
        <v>54</v>
      </c>
      <c r="F11" s="22" t="s">
        <v>35</v>
      </c>
      <c r="G11" s="20" t="s">
        <v>55</v>
      </c>
      <c r="H11" s="20" t="s">
        <v>56</v>
      </c>
      <c r="I11" s="12" t="s">
        <v>18</v>
      </c>
    </row>
    <row r="12" spans="1:9" ht="22.05" customHeight="1" x14ac:dyDescent="0.3">
      <c r="A12" s="26" t="s">
        <v>57</v>
      </c>
      <c r="B12" s="27"/>
      <c r="C12" s="27"/>
      <c r="D12" s="27"/>
      <c r="E12" s="27"/>
      <c r="F12" s="27"/>
      <c r="G12" s="27"/>
      <c r="H12" s="27"/>
      <c r="I12" s="27"/>
    </row>
    <row r="13" spans="1:9" ht="139.94999999999999" customHeight="1" x14ac:dyDescent="0.3">
      <c r="A13" s="20">
        <v>8</v>
      </c>
      <c r="B13" s="20" t="s">
        <v>58</v>
      </c>
      <c r="C13" s="20" t="s">
        <v>59</v>
      </c>
      <c r="D13" s="20" t="s">
        <v>60</v>
      </c>
      <c r="E13" s="21" t="s">
        <v>61</v>
      </c>
      <c r="F13" s="23" t="s">
        <v>15</v>
      </c>
      <c r="G13" s="20" t="s">
        <v>62</v>
      </c>
      <c r="H13" s="20" t="s">
        <v>63</v>
      </c>
      <c r="I13" s="12" t="s">
        <v>18</v>
      </c>
    </row>
    <row r="14" spans="1:9" ht="139.94999999999999" customHeight="1" x14ac:dyDescent="0.3">
      <c r="A14" s="20">
        <v>9</v>
      </c>
      <c r="B14" s="20" t="s">
        <v>64</v>
      </c>
      <c r="C14" s="20" t="s">
        <v>65</v>
      </c>
      <c r="D14" s="20" t="s">
        <v>66</v>
      </c>
      <c r="E14" s="21" t="s">
        <v>67</v>
      </c>
      <c r="F14" s="23" t="s">
        <v>15</v>
      </c>
      <c r="G14" s="20" t="s">
        <v>68</v>
      </c>
      <c r="H14" s="20" t="s">
        <v>69</v>
      </c>
      <c r="I14" s="12" t="s">
        <v>18</v>
      </c>
    </row>
    <row r="15" spans="1:9" ht="139.94999999999999" customHeight="1" x14ac:dyDescent="0.3">
      <c r="A15" s="20">
        <v>10</v>
      </c>
      <c r="B15" s="20" t="s">
        <v>70</v>
      </c>
      <c r="C15" s="20" t="s">
        <v>71</v>
      </c>
      <c r="D15" s="20" t="s">
        <v>72</v>
      </c>
      <c r="E15" s="21" t="s">
        <v>73</v>
      </c>
      <c r="F15" s="22" t="s">
        <v>35</v>
      </c>
      <c r="G15" s="20" t="s">
        <v>74</v>
      </c>
      <c r="H15" s="20" t="s">
        <v>75</v>
      </c>
      <c r="I15" s="11" t="s">
        <v>38</v>
      </c>
    </row>
    <row r="16" spans="1:9" ht="139.94999999999999" customHeight="1" x14ac:dyDescent="0.3">
      <c r="A16" s="20">
        <v>11</v>
      </c>
      <c r="B16" s="20" t="s">
        <v>76</v>
      </c>
      <c r="C16" s="20" t="s">
        <v>77</v>
      </c>
      <c r="D16" s="20" t="s">
        <v>78</v>
      </c>
      <c r="E16" s="21" t="s">
        <v>79</v>
      </c>
      <c r="F16" s="23" t="s">
        <v>15</v>
      </c>
      <c r="G16" s="20" t="s">
        <v>80</v>
      </c>
      <c r="H16" s="20" t="s">
        <v>81</v>
      </c>
      <c r="I16" s="12" t="s">
        <v>18</v>
      </c>
    </row>
    <row r="17" spans="1:9" ht="139.94999999999999" customHeight="1" x14ac:dyDescent="0.3">
      <c r="A17" s="20">
        <v>12</v>
      </c>
      <c r="B17" s="20" t="s">
        <v>82</v>
      </c>
      <c r="C17" s="20" t="s">
        <v>83</v>
      </c>
      <c r="D17" s="20" t="s">
        <v>84</v>
      </c>
      <c r="E17" s="21" t="s">
        <v>85</v>
      </c>
      <c r="F17" s="23" t="s">
        <v>15</v>
      </c>
      <c r="G17" s="20" t="s">
        <v>86</v>
      </c>
      <c r="H17" s="20" t="s">
        <v>87</v>
      </c>
      <c r="I17" s="12" t="s">
        <v>18</v>
      </c>
    </row>
    <row r="18" spans="1:9" ht="139.94999999999999" customHeight="1" x14ac:dyDescent="0.3">
      <c r="A18" s="20">
        <v>13</v>
      </c>
      <c r="B18" s="20" t="s">
        <v>88</v>
      </c>
      <c r="C18" s="20" t="s">
        <v>89</v>
      </c>
      <c r="D18" s="20" t="s">
        <v>90</v>
      </c>
      <c r="E18" s="21" t="s">
        <v>91</v>
      </c>
      <c r="F18" s="23" t="s">
        <v>15</v>
      </c>
      <c r="G18" s="20" t="s">
        <v>92</v>
      </c>
      <c r="H18" s="20" t="s">
        <v>93</v>
      </c>
      <c r="I18" s="11" t="s">
        <v>38</v>
      </c>
    </row>
    <row r="19" spans="1:9" ht="139.94999999999999" customHeight="1" x14ac:dyDescent="0.3">
      <c r="A19" s="20">
        <v>14</v>
      </c>
      <c r="B19" s="20" t="s">
        <v>94</v>
      </c>
      <c r="C19" s="20" t="s">
        <v>95</v>
      </c>
      <c r="D19" s="20" t="s">
        <v>96</v>
      </c>
      <c r="E19" s="21" t="s">
        <v>97</v>
      </c>
      <c r="F19" s="23" t="s">
        <v>15</v>
      </c>
      <c r="G19" s="20" t="s">
        <v>98</v>
      </c>
      <c r="H19" s="20" t="s">
        <v>99</v>
      </c>
      <c r="I19" s="12" t="s">
        <v>18</v>
      </c>
    </row>
    <row r="20" spans="1:9" ht="139.94999999999999" customHeight="1" x14ac:dyDescent="0.3">
      <c r="A20" s="20">
        <v>15</v>
      </c>
      <c r="B20" s="20" t="s">
        <v>100</v>
      </c>
      <c r="C20" s="20" t="s">
        <v>101</v>
      </c>
      <c r="D20" s="20" t="s">
        <v>102</v>
      </c>
      <c r="E20" s="21" t="s">
        <v>103</v>
      </c>
      <c r="F20" s="22" t="s">
        <v>35</v>
      </c>
      <c r="G20" s="20" t="s">
        <v>104</v>
      </c>
      <c r="H20" s="20" t="s">
        <v>105</v>
      </c>
      <c r="I20" s="12" t="s">
        <v>18</v>
      </c>
    </row>
    <row r="21" spans="1:9" ht="139.94999999999999" customHeight="1" x14ac:dyDescent="0.3">
      <c r="A21" s="20">
        <v>16</v>
      </c>
      <c r="B21" s="20" t="s">
        <v>106</v>
      </c>
      <c r="C21" s="20" t="s">
        <v>107</v>
      </c>
      <c r="D21" s="20" t="s">
        <v>108</v>
      </c>
      <c r="E21" s="21" t="s">
        <v>109</v>
      </c>
      <c r="F21" s="23" t="s">
        <v>15</v>
      </c>
      <c r="G21" s="20" t="s">
        <v>110</v>
      </c>
      <c r="H21" s="20" t="s">
        <v>111</v>
      </c>
      <c r="I21" s="12" t="s">
        <v>18</v>
      </c>
    </row>
    <row r="22" spans="1:9" ht="22.05" customHeight="1" x14ac:dyDescent="0.3">
      <c r="A22" s="26" t="s">
        <v>112</v>
      </c>
      <c r="B22" s="27"/>
      <c r="C22" s="27"/>
      <c r="D22" s="27"/>
      <c r="E22" s="27"/>
      <c r="F22" s="27"/>
      <c r="G22" s="27"/>
      <c r="H22" s="27"/>
      <c r="I22" s="27"/>
    </row>
    <row r="23" spans="1:9" ht="139.94999999999999" customHeight="1" x14ac:dyDescent="0.3">
      <c r="A23" s="20">
        <v>17</v>
      </c>
      <c r="B23" s="20" t="s">
        <v>113</v>
      </c>
      <c r="C23" s="20" t="s">
        <v>114</v>
      </c>
      <c r="D23" s="20" t="s">
        <v>115</v>
      </c>
      <c r="E23" s="21" t="s">
        <v>116</v>
      </c>
      <c r="F23" s="23" t="s">
        <v>15</v>
      </c>
      <c r="G23" s="20" t="s">
        <v>117</v>
      </c>
      <c r="H23" s="20" t="s">
        <v>118</v>
      </c>
      <c r="I23" s="12" t="s">
        <v>18</v>
      </c>
    </row>
    <row r="24" spans="1:9" ht="139.94999999999999" customHeight="1" x14ac:dyDescent="0.3">
      <c r="A24" s="20">
        <v>18</v>
      </c>
      <c r="B24" s="20" t="s">
        <v>119</v>
      </c>
      <c r="C24" s="20" t="s">
        <v>120</v>
      </c>
      <c r="D24" s="20" t="s">
        <v>121</v>
      </c>
      <c r="E24" s="21" t="s">
        <v>122</v>
      </c>
      <c r="F24" s="23" t="s">
        <v>15</v>
      </c>
      <c r="G24" s="20" t="s">
        <v>123</v>
      </c>
      <c r="H24" s="20" t="s">
        <v>124</v>
      </c>
      <c r="I24" s="11" t="s">
        <v>38</v>
      </c>
    </row>
    <row r="25" spans="1:9" ht="139.94999999999999" customHeight="1" x14ac:dyDescent="0.3">
      <c r="A25" s="20">
        <v>19</v>
      </c>
      <c r="B25" s="20" t="s">
        <v>125</v>
      </c>
      <c r="C25" s="20" t="s">
        <v>126</v>
      </c>
      <c r="D25" s="20" t="s">
        <v>127</v>
      </c>
      <c r="E25" s="21" t="s">
        <v>128</v>
      </c>
      <c r="F25" s="23" t="s">
        <v>15</v>
      </c>
      <c r="G25" s="20" t="s">
        <v>129</v>
      </c>
      <c r="H25" s="20" t="s">
        <v>130</v>
      </c>
      <c r="I25" s="12" t="s">
        <v>18</v>
      </c>
    </row>
    <row r="26" spans="1:9" ht="139.94999999999999" customHeight="1" x14ac:dyDescent="0.3">
      <c r="A26" s="20">
        <v>20</v>
      </c>
      <c r="B26" s="20" t="s">
        <v>131</v>
      </c>
      <c r="C26" s="20" t="s">
        <v>132</v>
      </c>
      <c r="D26" s="20" t="s">
        <v>133</v>
      </c>
      <c r="E26" s="21" t="s">
        <v>134</v>
      </c>
      <c r="F26" s="23" t="s">
        <v>15</v>
      </c>
      <c r="G26" s="20" t="s">
        <v>135</v>
      </c>
      <c r="H26" s="20" t="s">
        <v>136</v>
      </c>
      <c r="I26" s="12" t="s">
        <v>18</v>
      </c>
    </row>
    <row r="27" spans="1:9" ht="22.05" customHeight="1" x14ac:dyDescent="0.3">
      <c r="A27" s="26" t="s">
        <v>137</v>
      </c>
      <c r="B27" s="27"/>
      <c r="C27" s="27"/>
      <c r="D27" s="27"/>
      <c r="E27" s="27"/>
      <c r="F27" s="27"/>
      <c r="G27" s="27"/>
      <c r="H27" s="27"/>
      <c r="I27" s="27"/>
    </row>
    <row r="28" spans="1:9" ht="139.94999999999999" customHeight="1" x14ac:dyDescent="0.3">
      <c r="A28" s="20">
        <v>21</v>
      </c>
      <c r="B28" s="20" t="s">
        <v>138</v>
      </c>
      <c r="C28" s="20" t="s">
        <v>139</v>
      </c>
      <c r="D28" s="20" t="s">
        <v>140</v>
      </c>
      <c r="E28" s="21" t="s">
        <v>141</v>
      </c>
      <c r="F28" s="23" t="s">
        <v>15</v>
      </c>
      <c r="G28" s="20" t="s">
        <v>142</v>
      </c>
      <c r="H28" s="20" t="s">
        <v>143</v>
      </c>
      <c r="I28" s="12" t="s">
        <v>18</v>
      </c>
    </row>
    <row r="29" spans="1:9" ht="139.94999999999999" customHeight="1" x14ac:dyDescent="0.3">
      <c r="A29" s="20">
        <v>22</v>
      </c>
      <c r="B29" s="20" t="s">
        <v>144</v>
      </c>
      <c r="C29" s="20" t="s">
        <v>145</v>
      </c>
      <c r="D29" s="20" t="s">
        <v>146</v>
      </c>
      <c r="E29" s="21" t="s">
        <v>147</v>
      </c>
      <c r="F29" s="23" t="s">
        <v>15</v>
      </c>
      <c r="G29" s="20" t="s">
        <v>148</v>
      </c>
      <c r="H29" s="20" t="s">
        <v>149</v>
      </c>
      <c r="I29" s="12" t="s">
        <v>18</v>
      </c>
    </row>
    <row r="30" spans="1:9" ht="22.05" customHeight="1" x14ac:dyDescent="0.3">
      <c r="A30" s="26" t="s">
        <v>150</v>
      </c>
      <c r="B30" s="27"/>
      <c r="C30" s="27"/>
      <c r="D30" s="27"/>
      <c r="E30" s="27"/>
      <c r="F30" s="27"/>
      <c r="G30" s="27"/>
      <c r="H30" s="27"/>
      <c r="I30" s="27"/>
    </row>
    <row r="31" spans="1:9" ht="139.94999999999999" customHeight="1" x14ac:dyDescent="0.3">
      <c r="A31" s="20">
        <v>23</v>
      </c>
      <c r="B31" s="20" t="s">
        <v>151</v>
      </c>
      <c r="C31" s="20" t="s">
        <v>152</v>
      </c>
      <c r="D31" s="20" t="s">
        <v>153</v>
      </c>
      <c r="E31" s="21" t="s">
        <v>154</v>
      </c>
      <c r="F31" s="22" t="s">
        <v>35</v>
      </c>
      <c r="G31" s="20" t="s">
        <v>155</v>
      </c>
      <c r="H31" s="20" t="s">
        <v>156</v>
      </c>
      <c r="I31" s="11" t="s">
        <v>38</v>
      </c>
    </row>
    <row r="32" spans="1:9" ht="22.05" customHeight="1" x14ac:dyDescent="0.3">
      <c r="A32" s="26" t="s">
        <v>157</v>
      </c>
      <c r="B32" s="27"/>
      <c r="C32" s="27"/>
      <c r="D32" s="27"/>
      <c r="E32" s="27"/>
      <c r="F32" s="27"/>
      <c r="G32" s="27"/>
      <c r="H32" s="27"/>
      <c r="I32" s="27"/>
    </row>
    <row r="33" spans="1:9" ht="139.94999999999999" customHeight="1" x14ac:dyDescent="0.3">
      <c r="A33" s="20">
        <v>24</v>
      </c>
      <c r="B33" s="20" t="s">
        <v>158</v>
      </c>
      <c r="C33" s="20" t="s">
        <v>159</v>
      </c>
      <c r="D33" s="20" t="s">
        <v>160</v>
      </c>
      <c r="E33" s="21" t="s">
        <v>161</v>
      </c>
      <c r="F33" s="23" t="s">
        <v>15</v>
      </c>
      <c r="G33" s="20" t="s">
        <v>162</v>
      </c>
      <c r="H33" s="20" t="s">
        <v>163</v>
      </c>
      <c r="I33" s="12" t="s">
        <v>18</v>
      </c>
    </row>
    <row r="34" spans="1:9" ht="139.94999999999999" customHeight="1" x14ac:dyDescent="0.3">
      <c r="A34" s="20">
        <v>25</v>
      </c>
      <c r="B34" s="20" t="s">
        <v>164</v>
      </c>
      <c r="C34" s="20" t="s">
        <v>165</v>
      </c>
      <c r="D34" s="20" t="s">
        <v>166</v>
      </c>
      <c r="E34" s="21" t="s">
        <v>167</v>
      </c>
      <c r="F34" s="23" t="s">
        <v>15</v>
      </c>
      <c r="G34" s="20" t="s">
        <v>168</v>
      </c>
      <c r="H34" s="20" t="s">
        <v>169</v>
      </c>
      <c r="I34" s="12" t="s">
        <v>18</v>
      </c>
    </row>
    <row r="35" spans="1:9" ht="139.94999999999999" customHeight="1" x14ac:dyDescent="0.3">
      <c r="A35" s="20">
        <v>26</v>
      </c>
      <c r="B35" s="20" t="s">
        <v>170</v>
      </c>
      <c r="C35" s="20" t="s">
        <v>171</v>
      </c>
      <c r="D35" s="20" t="s">
        <v>172</v>
      </c>
      <c r="E35" s="21" t="s">
        <v>173</v>
      </c>
      <c r="F35" s="23" t="s">
        <v>15</v>
      </c>
      <c r="G35" s="20" t="s">
        <v>174</v>
      </c>
      <c r="H35" s="20" t="s">
        <v>175</v>
      </c>
      <c r="I35" s="12" t="s">
        <v>18</v>
      </c>
    </row>
    <row r="36" spans="1:9" ht="139.94999999999999" customHeight="1" x14ac:dyDescent="0.3">
      <c r="A36" s="20">
        <v>27</v>
      </c>
      <c r="B36" s="20" t="s">
        <v>176</v>
      </c>
      <c r="C36" s="20" t="s">
        <v>177</v>
      </c>
      <c r="D36" s="20" t="s">
        <v>178</v>
      </c>
      <c r="E36" s="21" t="s">
        <v>179</v>
      </c>
      <c r="F36" s="23" t="s">
        <v>15</v>
      </c>
      <c r="G36" s="20" t="s">
        <v>180</v>
      </c>
      <c r="H36" s="20" t="s">
        <v>181</v>
      </c>
      <c r="I36" s="11" t="s">
        <v>38</v>
      </c>
    </row>
    <row r="37" spans="1:9" ht="139.94999999999999" customHeight="1" x14ac:dyDescent="0.3">
      <c r="A37" s="20">
        <v>28</v>
      </c>
      <c r="B37" s="20" t="s">
        <v>182</v>
      </c>
      <c r="C37" s="20" t="s">
        <v>183</v>
      </c>
      <c r="D37" s="20" t="s">
        <v>184</v>
      </c>
      <c r="E37" s="21" t="s">
        <v>185</v>
      </c>
      <c r="F37" s="22" t="s">
        <v>35</v>
      </c>
      <c r="G37" s="20" t="s">
        <v>186</v>
      </c>
      <c r="H37" s="20" t="s">
        <v>187</v>
      </c>
      <c r="I37" s="11" t="s">
        <v>38</v>
      </c>
    </row>
    <row r="38" spans="1:9" ht="139.94999999999999" customHeight="1" x14ac:dyDescent="0.3">
      <c r="A38" s="20">
        <v>29</v>
      </c>
      <c r="B38" s="20" t="s">
        <v>188</v>
      </c>
      <c r="C38" s="20" t="s">
        <v>189</v>
      </c>
      <c r="D38" s="20" t="s">
        <v>190</v>
      </c>
      <c r="E38" s="21" t="s">
        <v>191</v>
      </c>
      <c r="F38" s="23" t="s">
        <v>15</v>
      </c>
      <c r="G38" s="20" t="s">
        <v>192</v>
      </c>
      <c r="H38" s="20" t="s">
        <v>193</v>
      </c>
      <c r="I38" s="12" t="s">
        <v>18</v>
      </c>
    </row>
    <row r="39" spans="1:9" ht="139.94999999999999" customHeight="1" x14ac:dyDescent="0.3">
      <c r="A39" s="20">
        <v>30</v>
      </c>
      <c r="B39" s="20" t="s">
        <v>194</v>
      </c>
      <c r="C39" s="20" t="s">
        <v>195</v>
      </c>
      <c r="D39" s="20" t="s">
        <v>196</v>
      </c>
      <c r="E39" s="21" t="s">
        <v>197</v>
      </c>
      <c r="F39" s="23" t="s">
        <v>15</v>
      </c>
      <c r="G39" s="20" t="s">
        <v>198</v>
      </c>
      <c r="H39" s="20" t="s">
        <v>199</v>
      </c>
      <c r="I39" s="12" t="s">
        <v>18</v>
      </c>
    </row>
    <row r="40" spans="1:9" ht="22.05" customHeight="1" x14ac:dyDescent="0.3">
      <c r="A40" s="26" t="s">
        <v>200</v>
      </c>
      <c r="B40" s="27"/>
      <c r="C40" s="27"/>
      <c r="D40" s="27"/>
      <c r="E40" s="27"/>
      <c r="F40" s="27"/>
      <c r="G40" s="27"/>
      <c r="H40" s="27"/>
      <c r="I40" s="27"/>
    </row>
    <row r="41" spans="1:9" ht="22.05" customHeight="1" x14ac:dyDescent="0.3">
      <c r="A41" s="26" t="s">
        <v>201</v>
      </c>
      <c r="B41" s="27"/>
      <c r="C41" s="27"/>
      <c r="D41" s="27"/>
      <c r="E41" s="27"/>
      <c r="F41" s="27"/>
      <c r="G41" s="27"/>
      <c r="H41" s="27"/>
      <c r="I41" s="27"/>
    </row>
    <row r="42" spans="1:9" ht="139.94999999999999" customHeight="1" x14ac:dyDescent="0.3">
      <c r="A42" s="20">
        <v>31</v>
      </c>
      <c r="B42" s="20" t="s">
        <v>202</v>
      </c>
      <c r="C42" s="20" t="s">
        <v>203</v>
      </c>
      <c r="D42" s="20" t="s">
        <v>204</v>
      </c>
      <c r="E42" s="21" t="s">
        <v>205</v>
      </c>
      <c r="F42" s="23" t="s">
        <v>15</v>
      </c>
      <c r="G42" s="20" t="s">
        <v>206</v>
      </c>
      <c r="H42" s="20" t="s">
        <v>207</v>
      </c>
      <c r="I42" s="12" t="s">
        <v>18</v>
      </c>
    </row>
    <row r="43" spans="1:9" ht="139.94999999999999" customHeight="1" x14ac:dyDescent="0.3">
      <c r="A43" s="20">
        <v>32</v>
      </c>
      <c r="B43" s="20" t="s">
        <v>208</v>
      </c>
      <c r="C43" s="20" t="s">
        <v>209</v>
      </c>
      <c r="D43" s="20" t="s">
        <v>210</v>
      </c>
      <c r="E43" s="21" t="s">
        <v>211</v>
      </c>
      <c r="F43" s="23" t="s">
        <v>15</v>
      </c>
      <c r="G43" s="20" t="s">
        <v>212</v>
      </c>
      <c r="H43" s="20" t="s">
        <v>213</v>
      </c>
      <c r="I43" s="11" t="s">
        <v>38</v>
      </c>
    </row>
    <row r="44" spans="1:9" ht="139.94999999999999" customHeight="1" x14ac:dyDescent="0.3">
      <c r="A44" s="20">
        <v>33</v>
      </c>
      <c r="B44" s="20" t="s">
        <v>214</v>
      </c>
      <c r="C44" s="20" t="s">
        <v>215</v>
      </c>
      <c r="D44" s="20" t="s">
        <v>216</v>
      </c>
      <c r="E44" s="21" t="s">
        <v>217</v>
      </c>
      <c r="F44" s="22" t="s">
        <v>35</v>
      </c>
      <c r="G44" s="20" t="s">
        <v>218</v>
      </c>
      <c r="H44" s="20" t="s">
        <v>219</v>
      </c>
      <c r="I44" s="13" t="s">
        <v>220</v>
      </c>
    </row>
    <row r="45" spans="1:9" ht="139.94999999999999" customHeight="1" x14ac:dyDescent="0.3">
      <c r="A45" s="20">
        <v>34</v>
      </c>
      <c r="B45" s="20" t="s">
        <v>221</v>
      </c>
      <c r="C45" s="20" t="s">
        <v>222</v>
      </c>
      <c r="D45" s="20" t="s">
        <v>223</v>
      </c>
      <c r="E45" s="21" t="s">
        <v>224</v>
      </c>
      <c r="F45" s="22" t="s">
        <v>35</v>
      </c>
      <c r="G45" s="20" t="s">
        <v>225</v>
      </c>
      <c r="H45" s="20" t="s">
        <v>226</v>
      </c>
      <c r="I45" s="12" t="s">
        <v>18</v>
      </c>
    </row>
    <row r="46" spans="1:9" ht="139.94999999999999" customHeight="1" x14ac:dyDescent="0.3">
      <c r="A46" s="20">
        <v>35</v>
      </c>
      <c r="B46" s="20" t="s">
        <v>227</v>
      </c>
      <c r="C46" s="20" t="s">
        <v>228</v>
      </c>
      <c r="D46" s="20" t="s">
        <v>229</v>
      </c>
      <c r="E46" s="21" t="s">
        <v>230</v>
      </c>
      <c r="F46" s="23" t="s">
        <v>15</v>
      </c>
      <c r="G46" s="20" t="s">
        <v>231</v>
      </c>
      <c r="H46" s="20" t="s">
        <v>232</v>
      </c>
      <c r="I46" s="11" t="s">
        <v>38</v>
      </c>
    </row>
    <row r="47" spans="1:9" ht="139.94999999999999" customHeight="1" x14ac:dyDescent="0.3">
      <c r="A47" s="20">
        <v>36</v>
      </c>
      <c r="B47" s="20" t="s">
        <v>233</v>
      </c>
      <c r="C47" s="20" t="s">
        <v>234</v>
      </c>
      <c r="D47" s="20" t="s">
        <v>235</v>
      </c>
      <c r="E47" s="21" t="s">
        <v>236</v>
      </c>
      <c r="F47" s="23" t="s">
        <v>15</v>
      </c>
      <c r="G47" s="20" t="s">
        <v>237</v>
      </c>
      <c r="H47" s="20" t="s">
        <v>238</v>
      </c>
      <c r="I47" s="11" t="s">
        <v>38</v>
      </c>
    </row>
    <row r="48" spans="1:9" ht="22.05" customHeight="1" x14ac:dyDescent="0.3">
      <c r="A48" s="26" t="s">
        <v>239</v>
      </c>
      <c r="B48" s="27"/>
      <c r="C48" s="27"/>
      <c r="D48" s="27"/>
      <c r="E48" s="27"/>
      <c r="F48" s="27"/>
      <c r="G48" s="27"/>
      <c r="H48" s="27"/>
      <c r="I48" s="27"/>
    </row>
    <row r="49" spans="1:9" ht="139.94999999999999" customHeight="1" x14ac:dyDescent="0.3">
      <c r="A49" s="20">
        <v>37</v>
      </c>
      <c r="B49" s="20" t="s">
        <v>240</v>
      </c>
      <c r="C49" s="20" t="s">
        <v>241</v>
      </c>
      <c r="D49" s="20" t="s">
        <v>242</v>
      </c>
      <c r="E49" s="21" t="s">
        <v>243</v>
      </c>
      <c r="F49" s="23" t="s">
        <v>15</v>
      </c>
      <c r="G49" s="20" t="s">
        <v>244</v>
      </c>
      <c r="H49" s="20" t="s">
        <v>245</v>
      </c>
      <c r="I49" s="12" t="s">
        <v>18</v>
      </c>
    </row>
    <row r="50" spans="1:9" ht="22.05" customHeight="1" x14ac:dyDescent="0.3">
      <c r="A50" s="26" t="s">
        <v>246</v>
      </c>
      <c r="B50" s="27"/>
      <c r="C50" s="27"/>
      <c r="D50" s="27"/>
      <c r="E50" s="27"/>
      <c r="F50" s="27"/>
      <c r="G50" s="27"/>
      <c r="H50" s="27"/>
      <c r="I50" s="27"/>
    </row>
    <row r="51" spans="1:9" ht="139.94999999999999" customHeight="1" x14ac:dyDescent="0.3">
      <c r="A51" s="20">
        <v>38</v>
      </c>
      <c r="B51" s="20" t="s">
        <v>247</v>
      </c>
      <c r="C51" s="20" t="s">
        <v>248</v>
      </c>
      <c r="D51" s="20" t="s">
        <v>249</v>
      </c>
      <c r="E51" s="21" t="s">
        <v>147</v>
      </c>
      <c r="F51" s="23" t="s">
        <v>15</v>
      </c>
      <c r="G51" s="20" t="s">
        <v>250</v>
      </c>
      <c r="H51" s="20" t="s">
        <v>251</v>
      </c>
      <c r="I51" s="12" t="s">
        <v>18</v>
      </c>
    </row>
    <row r="52" spans="1:9" ht="139.94999999999999" customHeight="1" x14ac:dyDescent="0.3">
      <c r="A52" s="20">
        <v>39</v>
      </c>
      <c r="B52" s="20" t="s">
        <v>252</v>
      </c>
      <c r="C52" s="20" t="s">
        <v>253</v>
      </c>
      <c r="D52" s="20" t="s">
        <v>254</v>
      </c>
      <c r="E52" s="21" t="s">
        <v>255</v>
      </c>
      <c r="F52" s="23" t="s">
        <v>15</v>
      </c>
      <c r="G52" s="20" t="s">
        <v>256</v>
      </c>
      <c r="H52" s="20" t="s">
        <v>257</v>
      </c>
      <c r="I52" s="12" t="s">
        <v>18</v>
      </c>
    </row>
    <row r="53" spans="1:9" ht="139.94999999999999" customHeight="1" x14ac:dyDescent="0.3">
      <c r="A53" s="20">
        <v>40</v>
      </c>
      <c r="B53" s="20" t="s">
        <v>258</v>
      </c>
      <c r="C53" s="20" t="s">
        <v>259</v>
      </c>
      <c r="D53" s="20" t="s">
        <v>260</v>
      </c>
      <c r="E53" s="21" t="s">
        <v>261</v>
      </c>
      <c r="F53" s="22" t="s">
        <v>35</v>
      </c>
      <c r="G53" s="20" t="s">
        <v>262</v>
      </c>
      <c r="H53" s="20" t="s">
        <v>263</v>
      </c>
      <c r="I53" s="12" t="s">
        <v>18</v>
      </c>
    </row>
    <row r="54" spans="1:9" ht="139.94999999999999" customHeight="1" x14ac:dyDescent="0.3">
      <c r="A54" s="20">
        <v>41</v>
      </c>
      <c r="B54" s="20" t="s">
        <v>264</v>
      </c>
      <c r="C54" s="20" t="s">
        <v>265</v>
      </c>
      <c r="D54" s="20" t="s">
        <v>266</v>
      </c>
      <c r="E54" s="21" t="s">
        <v>103</v>
      </c>
      <c r="F54" s="22" t="s">
        <v>35</v>
      </c>
      <c r="G54" s="20" t="s">
        <v>267</v>
      </c>
      <c r="H54" s="20" t="s">
        <v>268</v>
      </c>
      <c r="I54" s="12" t="s">
        <v>18</v>
      </c>
    </row>
    <row r="55" spans="1:9" ht="22.05" customHeight="1" x14ac:dyDescent="0.3">
      <c r="A55" s="26" t="s">
        <v>269</v>
      </c>
      <c r="B55" s="27"/>
      <c r="C55" s="27"/>
      <c r="D55" s="27"/>
      <c r="E55" s="27"/>
      <c r="F55" s="27"/>
      <c r="G55" s="27"/>
      <c r="H55" s="27"/>
      <c r="I55" s="27"/>
    </row>
    <row r="56" spans="1:9" ht="139.94999999999999" customHeight="1" x14ac:dyDescent="0.3">
      <c r="A56" s="20" t="s">
        <v>270</v>
      </c>
      <c r="B56" s="20" t="s">
        <v>271</v>
      </c>
      <c r="C56" s="20" t="s">
        <v>272</v>
      </c>
      <c r="D56" s="20" t="s">
        <v>273</v>
      </c>
      <c r="E56" s="21" t="s">
        <v>274</v>
      </c>
      <c r="F56" s="22" t="s">
        <v>35</v>
      </c>
      <c r="G56" s="20" t="s">
        <v>275</v>
      </c>
      <c r="H56" s="20" t="s">
        <v>276</v>
      </c>
      <c r="I56" s="11" t="s">
        <v>38</v>
      </c>
    </row>
    <row r="57" spans="1:9" ht="139.94999999999999" customHeight="1" x14ac:dyDescent="0.3">
      <c r="A57" s="20" t="s">
        <v>277</v>
      </c>
      <c r="B57" s="20" t="s">
        <v>278</v>
      </c>
      <c r="C57" s="20" t="s">
        <v>279</v>
      </c>
      <c r="D57" s="20" t="s">
        <v>280</v>
      </c>
      <c r="E57" s="21" t="s">
        <v>281</v>
      </c>
      <c r="F57" s="23" t="s">
        <v>15</v>
      </c>
      <c r="G57" s="20" t="s">
        <v>282</v>
      </c>
      <c r="H57" s="20" t="s">
        <v>283</v>
      </c>
      <c r="I57" s="11" t="s">
        <v>38</v>
      </c>
    </row>
    <row r="58" spans="1:9" ht="139.94999999999999" customHeight="1" x14ac:dyDescent="0.3">
      <c r="A58" s="20" t="s">
        <v>284</v>
      </c>
      <c r="B58" s="20" t="s">
        <v>285</v>
      </c>
      <c r="C58" s="20" t="s">
        <v>286</v>
      </c>
      <c r="D58" s="20" t="s">
        <v>287</v>
      </c>
      <c r="E58" s="21" t="s">
        <v>288</v>
      </c>
      <c r="F58" s="23" t="s">
        <v>15</v>
      </c>
      <c r="G58" s="20" t="s">
        <v>289</v>
      </c>
      <c r="H58" s="20" t="s">
        <v>290</v>
      </c>
      <c r="I58" s="12" t="s">
        <v>18</v>
      </c>
    </row>
    <row r="59" spans="1:9" ht="22.05" customHeight="1" x14ac:dyDescent="0.3">
      <c r="A59" s="26" t="s">
        <v>291</v>
      </c>
      <c r="B59" s="27"/>
      <c r="C59" s="27"/>
      <c r="D59" s="27"/>
      <c r="E59" s="27"/>
      <c r="F59" s="27"/>
      <c r="G59" s="27"/>
      <c r="H59" s="27"/>
      <c r="I59" s="27"/>
    </row>
    <row r="60" spans="1:9" ht="139.94999999999999" customHeight="1" x14ac:dyDescent="0.3">
      <c r="A60" s="20" t="s">
        <v>292</v>
      </c>
      <c r="B60" s="20" t="s">
        <v>293</v>
      </c>
      <c r="C60" s="20" t="s">
        <v>294</v>
      </c>
      <c r="D60" s="20" t="s">
        <v>295</v>
      </c>
      <c r="E60" s="21" t="s">
        <v>296</v>
      </c>
      <c r="F60" s="23" t="s">
        <v>15</v>
      </c>
      <c r="G60" s="20" t="s">
        <v>297</v>
      </c>
      <c r="H60" s="20" t="s">
        <v>298</v>
      </c>
      <c r="I60" s="12" t="s">
        <v>18</v>
      </c>
    </row>
    <row r="61" spans="1:9" ht="139.94999999999999" customHeight="1" x14ac:dyDescent="0.3">
      <c r="A61" s="20" t="s">
        <v>299</v>
      </c>
      <c r="B61" s="20" t="s">
        <v>300</v>
      </c>
      <c r="C61" s="20" t="s">
        <v>301</v>
      </c>
      <c r="D61" s="20" t="s">
        <v>302</v>
      </c>
      <c r="E61" s="21" t="s">
        <v>303</v>
      </c>
      <c r="F61" s="23" t="s">
        <v>15</v>
      </c>
      <c r="G61" s="20" t="s">
        <v>304</v>
      </c>
      <c r="H61" s="20" t="s">
        <v>305</v>
      </c>
      <c r="I61" s="11" t="s">
        <v>38</v>
      </c>
    </row>
    <row r="62" spans="1:9" ht="139.94999999999999" customHeight="1" x14ac:dyDescent="0.3">
      <c r="A62" s="20" t="s">
        <v>306</v>
      </c>
      <c r="B62" s="20" t="s">
        <v>307</v>
      </c>
      <c r="C62" s="20" t="s">
        <v>308</v>
      </c>
      <c r="D62" s="20" t="s">
        <v>309</v>
      </c>
      <c r="E62" s="21" t="s">
        <v>310</v>
      </c>
      <c r="F62" s="22" t="s">
        <v>35</v>
      </c>
      <c r="G62" s="20" t="s">
        <v>311</v>
      </c>
      <c r="H62" s="20" t="s">
        <v>312</v>
      </c>
      <c r="I62" s="11" t="s">
        <v>38</v>
      </c>
    </row>
    <row r="63" spans="1:9" ht="139.94999999999999" customHeight="1" x14ac:dyDescent="0.3">
      <c r="A63" s="20" t="s">
        <v>313</v>
      </c>
      <c r="B63" s="20" t="s">
        <v>314</v>
      </c>
      <c r="C63" s="20" t="s">
        <v>315</v>
      </c>
      <c r="D63" s="20" t="s">
        <v>316</v>
      </c>
      <c r="E63" s="21" t="s">
        <v>317</v>
      </c>
      <c r="F63" s="23" t="s">
        <v>15</v>
      </c>
      <c r="G63" s="20" t="s">
        <v>318</v>
      </c>
      <c r="H63" s="20" t="s">
        <v>319</v>
      </c>
      <c r="I63" s="12" t="s">
        <v>18</v>
      </c>
    </row>
    <row r="64" spans="1:9" ht="139.94999999999999" customHeight="1" x14ac:dyDescent="0.3">
      <c r="A64" s="20" t="s">
        <v>320</v>
      </c>
      <c r="B64" s="20" t="s">
        <v>321</v>
      </c>
      <c r="C64" s="20" t="s">
        <v>322</v>
      </c>
      <c r="D64" s="20" t="s">
        <v>323</v>
      </c>
      <c r="E64" s="21" t="s">
        <v>324</v>
      </c>
      <c r="F64" s="23" t="s">
        <v>15</v>
      </c>
      <c r="G64" s="20" t="s">
        <v>325</v>
      </c>
      <c r="H64" s="20" t="s">
        <v>251</v>
      </c>
      <c r="I64" s="12" t="s">
        <v>18</v>
      </c>
    </row>
    <row r="65" spans="1:9" ht="139.94999999999999" customHeight="1" x14ac:dyDescent="0.3">
      <c r="A65" s="20" t="s">
        <v>326</v>
      </c>
      <c r="B65" s="20" t="s">
        <v>327</v>
      </c>
      <c r="C65" s="20" t="s">
        <v>328</v>
      </c>
      <c r="D65" s="20" t="s">
        <v>329</v>
      </c>
      <c r="E65" s="21" t="s">
        <v>330</v>
      </c>
      <c r="F65" s="23" t="s">
        <v>15</v>
      </c>
      <c r="G65" s="20" t="s">
        <v>331</v>
      </c>
      <c r="H65" s="20" t="s">
        <v>332</v>
      </c>
      <c r="I65" s="12" t="s">
        <v>18</v>
      </c>
    </row>
    <row r="66" spans="1:9" ht="139.94999999999999" customHeight="1" x14ac:dyDescent="0.3">
      <c r="A66" s="20" t="s">
        <v>333</v>
      </c>
      <c r="B66" s="20" t="s">
        <v>334</v>
      </c>
      <c r="C66" s="20" t="s">
        <v>335</v>
      </c>
      <c r="D66" s="20" t="s">
        <v>336</v>
      </c>
      <c r="E66" s="21" t="s">
        <v>337</v>
      </c>
      <c r="F66" s="23" t="s">
        <v>15</v>
      </c>
      <c r="G66" s="20" t="s">
        <v>338</v>
      </c>
      <c r="H66" s="20" t="s">
        <v>339</v>
      </c>
      <c r="I66" s="12" t="s">
        <v>18</v>
      </c>
    </row>
  </sheetData>
  <mergeCells count="14">
    <mergeCell ref="A1:I1"/>
    <mergeCell ref="A40:I40"/>
    <mergeCell ref="A27:I27"/>
    <mergeCell ref="A22:I22"/>
    <mergeCell ref="A55:I55"/>
    <mergeCell ref="A12:I12"/>
    <mergeCell ref="A4:I4"/>
    <mergeCell ref="A48:I48"/>
    <mergeCell ref="A30:I30"/>
    <mergeCell ref="A59:I59"/>
    <mergeCell ref="A41:I41"/>
    <mergeCell ref="A2:I2"/>
    <mergeCell ref="A50:I50"/>
    <mergeCell ref="A32:I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2"/>
  <sheetViews>
    <sheetView workbookViewId="0">
      <selection sqref="A1:E1"/>
    </sheetView>
  </sheetViews>
  <sheetFormatPr defaultRowHeight="14.4" x14ac:dyDescent="0.3"/>
  <cols>
    <col min="1" max="1" width="8" customWidth="1"/>
    <col min="2" max="2" width="40" customWidth="1"/>
    <col min="3" max="3" width="22" customWidth="1"/>
    <col min="4" max="4" width="10" customWidth="1"/>
    <col min="5" max="5" width="70" customWidth="1"/>
  </cols>
  <sheetData>
    <row r="1" spans="1:5" ht="30" customHeight="1" x14ac:dyDescent="0.3">
      <c r="A1" s="32" t="s">
        <v>342</v>
      </c>
      <c r="B1" s="27"/>
      <c r="C1" s="27"/>
      <c r="D1" s="27"/>
      <c r="E1" s="27"/>
    </row>
    <row r="3" spans="1:5" x14ac:dyDescent="0.3">
      <c r="A3" s="30" t="s">
        <v>343</v>
      </c>
      <c r="B3" s="27"/>
      <c r="C3" s="27"/>
      <c r="D3" s="27"/>
      <c r="E3" s="27"/>
    </row>
    <row r="4" spans="1:5" x14ac:dyDescent="0.3">
      <c r="A4" s="2" t="s">
        <v>1</v>
      </c>
      <c r="B4" s="2" t="s">
        <v>6</v>
      </c>
      <c r="C4" s="2" t="s">
        <v>344</v>
      </c>
      <c r="D4" s="2" t="s">
        <v>345</v>
      </c>
      <c r="E4" s="2" t="s">
        <v>346</v>
      </c>
    </row>
    <row r="5" spans="1:5" x14ac:dyDescent="0.3">
      <c r="A5" s="3">
        <v>1</v>
      </c>
      <c r="B5" s="4" t="s">
        <v>15</v>
      </c>
      <c r="C5" s="3">
        <f>COUNTIF('Analisi E27 — MAN'!$F$5:$F$66,"CONFORME")</f>
        <v>38</v>
      </c>
      <c r="D5" s="3">
        <f>COUNTIF('Analisi E27 — MAN'!$F$5:$F$66,"CONFORME")+COUNTIF('Analisi E27 — MAN'!$F$5:$F$66,"PARZIALMENTE CONFORME")+COUNTIF('Analisi E27 — MAN'!$F$5:$F$66,"NON CONFORME")+COUNTIF('Analisi E27 — MAN'!$F$5:$F$66,"DA VERIFICARE")+COUNTIF('Analisi E27 — MAN'!$F$5:$F$66,"N/A")</f>
        <v>51</v>
      </c>
      <c r="E5" s="5">
        <f>IF(D5=0,"",C5/D5)</f>
        <v>0.74509803921568629</v>
      </c>
    </row>
    <row r="6" spans="1:5" x14ac:dyDescent="0.3">
      <c r="A6" s="3">
        <v>2</v>
      </c>
      <c r="B6" s="6" t="s">
        <v>35</v>
      </c>
      <c r="C6" s="3">
        <f>COUNTIF('Analisi E27 — MAN'!$F$5:$F$66,"PARZIALMENTE CONFORME")</f>
        <v>13</v>
      </c>
      <c r="D6" s="3">
        <f>COUNTIF('Analisi E27 — MAN'!$F$5:$F$66,"CONFORME")+COUNTIF('Analisi E27 — MAN'!$F$5:$F$66,"PARZIALMENTE CONFORME")+COUNTIF('Analisi E27 — MAN'!$F$5:$F$66,"NON CONFORME")+COUNTIF('Analisi E27 — MAN'!$F$5:$F$66,"DA VERIFICARE")+COUNTIF('Analisi E27 — MAN'!$F$5:$F$66,"N/A")</f>
        <v>51</v>
      </c>
      <c r="E6" s="5">
        <f>IF(D6=0,"",C6/D6)</f>
        <v>0.25490196078431371</v>
      </c>
    </row>
    <row r="7" spans="1:5" x14ac:dyDescent="0.3">
      <c r="A7" s="3">
        <v>3</v>
      </c>
      <c r="B7" s="7" t="s">
        <v>340</v>
      </c>
      <c r="C7" s="3">
        <f>COUNTIF('Analisi E27 — MAN'!$F$5:$F$66,"NON CONFORME")</f>
        <v>0</v>
      </c>
      <c r="D7" s="3">
        <f>COUNTIF('Analisi E27 — MAN'!$F$5:$F$66,"CONFORME")+COUNTIF('Analisi E27 — MAN'!$F$5:$F$66,"PARZIALMENTE CONFORME")+COUNTIF('Analisi E27 — MAN'!$F$5:$F$66,"NON CONFORME")+COUNTIF('Analisi E27 — MAN'!$F$5:$F$66,"DA VERIFICARE")+COUNTIF('Analisi E27 — MAN'!$F$5:$F$66,"N/A")</f>
        <v>51</v>
      </c>
      <c r="E7" s="5">
        <f>IF(D7=0,"",C7/D7)</f>
        <v>0</v>
      </c>
    </row>
    <row r="8" spans="1:5" x14ac:dyDescent="0.3">
      <c r="A8" s="3">
        <v>4</v>
      </c>
      <c r="B8" s="14" t="s">
        <v>341</v>
      </c>
      <c r="C8" s="3">
        <f>COUNTIF('Analisi E27 — MAN'!$F$5:$F$66,"DA VERIFICARE")</f>
        <v>0</v>
      </c>
      <c r="D8" s="3">
        <f>COUNTIF('Analisi E27 — MAN'!$F$5:$F$66,"CONFORME")+COUNTIF('Analisi E27 — MAN'!$F$5:$F$66,"PARZIALMENTE CONFORME")+COUNTIF('Analisi E27 — MAN'!$F$5:$F$66,"NON CONFORME")+COUNTIF('Analisi E27 — MAN'!$F$5:$F$66,"DA VERIFICARE")+COUNTIF('Analisi E27 — MAN'!$F$5:$F$66,"N/A")</f>
        <v>51</v>
      </c>
      <c r="E8" s="5">
        <f>IF(D8=0,"",C8/D8)</f>
        <v>0</v>
      </c>
    </row>
    <row r="9" spans="1:5" x14ac:dyDescent="0.3">
      <c r="A9" s="3">
        <v>5</v>
      </c>
      <c r="B9" s="8" t="s">
        <v>347</v>
      </c>
      <c r="C9" s="3">
        <f>COUNTIF('Analisi E27 — MAN'!$F$5:$F$66,"N/A")</f>
        <v>0</v>
      </c>
      <c r="D9" s="3">
        <f>COUNTIF('Analisi E27 — MAN'!$F$5:$F$66,"CONFORME")+COUNTIF('Analisi E27 — MAN'!$F$5:$F$66,"PARZIALMENTE CONFORME")+COUNTIF('Analisi E27 — MAN'!$F$5:$F$66,"NON CONFORME")+COUNTIF('Analisi E27 — MAN'!$F$5:$F$66,"DA VERIFICARE")+COUNTIF('Analisi E27 — MAN'!$F$5:$F$66,"N/A")</f>
        <v>51</v>
      </c>
      <c r="E9" s="5">
        <f>IF(D9=0,"",C9/D9)</f>
        <v>0</v>
      </c>
    </row>
    <row r="10" spans="1:5" ht="22.5" customHeight="1" x14ac:dyDescent="0.3">
      <c r="B10" s="9" t="s">
        <v>348</v>
      </c>
      <c r="C10" s="10">
        <f>SUM(C5:C9)</f>
        <v>51</v>
      </c>
      <c r="D10">
        <f>COUNTIF('Analisi E27 — MAN'!$F$5:$F$66,"CONFORME")+COUNTIF('Analisi E27 — MAN'!$F$5:$F$66,"PARZIALMENTE CONFORME")+COUNTIF('Analisi E27 — MAN'!$F$5:$F$66,"NON CONFORME")+COUNTIF('Analisi E27 — MAN'!$F$5:$F$66,"DA VERIFICARE")+COUNTIF('Analisi E27 — MAN'!$F$5:$F$66,"N/A")</f>
        <v>51</v>
      </c>
    </row>
    <row r="12" spans="1:5" x14ac:dyDescent="0.3">
      <c r="A12" s="30" t="s">
        <v>349</v>
      </c>
      <c r="B12" s="27"/>
      <c r="C12" s="27"/>
      <c r="D12" s="27"/>
      <c r="E12" s="27"/>
    </row>
    <row r="13" spans="1:5" ht="22.5" customHeight="1" x14ac:dyDescent="0.3">
      <c r="A13" s="2" t="s">
        <v>350</v>
      </c>
      <c r="B13" s="2" t="s">
        <v>351</v>
      </c>
      <c r="C13" s="2" t="s">
        <v>6</v>
      </c>
      <c r="D13" s="2" t="s">
        <v>9</v>
      </c>
      <c r="E13" s="2" t="s">
        <v>8</v>
      </c>
    </row>
    <row r="14" spans="1:5" ht="22.5" customHeight="1" x14ac:dyDescent="0.3">
      <c r="A14" s="31" t="s">
        <v>352</v>
      </c>
      <c r="B14" s="27"/>
      <c r="C14" s="27"/>
      <c r="D14" s="27"/>
      <c r="E14" s="27"/>
    </row>
    <row r="15" spans="1:5" ht="30" customHeight="1" x14ac:dyDescent="0.3">
      <c r="A15" s="24" t="s">
        <v>353</v>
      </c>
      <c r="B15" s="25" t="str">
        <f>'Analisi E27 — MAN'!B5</f>
        <v>Identificazione utente</v>
      </c>
      <c r="C15" s="15" t="str">
        <f>'Analisi E27 — MAN'!F5</f>
        <v>CONFORME</v>
      </c>
      <c r="D15" s="15" t="str">
        <f>'Analisi E27 — MAN'!I5</f>
        <v>BASSA</v>
      </c>
      <c r="E15" s="25" t="str">
        <f>'Analisi E27 — MAN'!H5</f>
        <v>Verificare on-site sui PC ATU GNV: utenti locali presenti, integrazione Active Directory (se applicabile).</v>
      </c>
    </row>
    <row r="16" spans="1:5" ht="30" customHeight="1" x14ac:dyDescent="0.3">
      <c r="A16" s="24" t="s">
        <v>354</v>
      </c>
      <c r="B16" s="25" t="str">
        <f>'Analisi E27 — MAN'!B6</f>
        <v>Gestione account</v>
      </c>
      <c r="C16" s="15" t="str">
        <f>'Analisi E27 — MAN'!F6</f>
        <v>CONFORME</v>
      </c>
      <c r="D16" s="15" t="str">
        <f>'Analisi E27 — MAN'!I6</f>
        <v>BASSA</v>
      </c>
      <c r="E16" s="25" t="str">
        <f>'Analisi E27 — MAN'!H6</f>
        <v>Nessuna azione necessaria; eventuale verifica di una sample report di account review può essere richiesta al fornitore (Whistic H.0.5).</v>
      </c>
    </row>
    <row r="17" spans="1:5" ht="30" customHeight="1" x14ac:dyDescent="0.3">
      <c r="A17" s="24" t="s">
        <v>355</v>
      </c>
      <c r="B17" s="25" t="str">
        <f>'Analisi E27 — MAN'!B7</f>
        <v>Gestione ruoli</v>
      </c>
      <c r="C17" s="15" t="str">
        <f>'Analisi E27 — MAN'!F7</f>
        <v>CONFORME</v>
      </c>
      <c r="D17" s="15" t="str">
        <f>'Analisi E27 — MAN'!I7</f>
        <v>BASSA</v>
      </c>
      <c r="E17" s="25" t="str">
        <f>'Analisi E27 — MAN'!H7</f>
        <v>Nessuna azione strettamente necessaria; matrice ruoli/permessi tecnica specifica del prodotto CEON può essere richiesta in fase di operations setup.</v>
      </c>
    </row>
    <row r="18" spans="1:5" ht="30" customHeight="1" x14ac:dyDescent="0.3">
      <c r="A18" s="24" t="s">
        <v>356</v>
      </c>
      <c r="B18" s="25" t="str">
        <f>'Analisi E27 — MAN'!B8</f>
        <v>Gestione credenziali</v>
      </c>
      <c r="C18" s="15" t="str">
        <f>'Analisi E27 — MAN'!F8</f>
        <v>PARZIALMENTE CONFORME</v>
      </c>
      <c r="D18" s="15" t="str">
        <f>'Analisi E27 — MAN'!I8</f>
        <v>MEDIA</v>
      </c>
      <c r="E18" s="25" t="str">
        <f>'Analisi E27 — MAN'!H8</f>
        <v>Richiedere a MAN/Everllence: policy password formale (min length, complexity, history, expiry), procedure reset password sicure, esistenza forced password change al primo login.</v>
      </c>
    </row>
    <row r="19" spans="1:5" ht="30" customHeight="1" x14ac:dyDescent="0.3">
      <c r="A19" s="24" t="s">
        <v>357</v>
      </c>
      <c r="B19" s="25" t="str">
        <f>'Analisi E27 — MAN'!B9</f>
        <v>Accesso wireless</v>
      </c>
      <c r="C19" s="15" t="str">
        <f>'Analisi E27 — MAN'!F9</f>
        <v>CONFORME</v>
      </c>
      <c r="D19" s="15" t="str">
        <f>'Analisi E27 — MAN'!I9</f>
        <v>BASSA</v>
      </c>
      <c r="E19" s="25" t="str">
        <f>'Analisi E27 — MAN'!H9</f>
        <v>Verifica visiva on-site sui PC ATU GNV: assenza adapter wireless attivi, conferma BIOS lock di interfacce wireless.</v>
      </c>
    </row>
    <row r="20" spans="1:5" ht="30" customHeight="1" x14ac:dyDescent="0.3">
      <c r="A20" s="24" t="s">
        <v>358</v>
      </c>
      <c r="B20" s="25" t="str">
        <f>'Analisi E27 — MAN'!B10</f>
        <v>Robustezza password</v>
      </c>
      <c r="C20" s="15" t="str">
        <f>'Analisi E27 — MAN'!F10</f>
        <v>PARZIALMENTE CONFORME</v>
      </c>
      <c r="D20" s="15" t="str">
        <f>'Analisi E27 — MAN'!I10</f>
        <v>MEDIA</v>
      </c>
      <c r="E20" s="25" t="str">
        <f>'Analisi E27 — MAN'!H10</f>
        <v>Richiedere a MAN tramite Whistic platform il documento 'Corporate password policy and procedures' (riferimento Whistic H.0.2).</v>
      </c>
    </row>
    <row r="21" spans="1:5" ht="30" customHeight="1" x14ac:dyDescent="0.3">
      <c r="A21" s="24" t="s">
        <v>359</v>
      </c>
      <c r="B21" s="25" t="str">
        <f>'Analisi E27 — MAN'!B11</f>
        <v>Mascheratura password</v>
      </c>
      <c r="C21" s="15" t="str">
        <f>'Analisi E27 — MAN'!F11</f>
        <v>PARZIALMENTE CONFORME</v>
      </c>
      <c r="D21" s="15" t="str">
        <f>'Analisi E27 — MAN'!I11</f>
        <v>BASSA</v>
      </c>
      <c r="E21" s="25" t="str">
        <f>'Analisi E27 — MAN'!H11</f>
        <v>Verifica visiva durante demo CEON cloud UI: campo password mascherato, no echo plaintext.</v>
      </c>
    </row>
    <row r="22" spans="1:5" ht="30" customHeight="1" x14ac:dyDescent="0.3">
      <c r="A22" s="24" t="s">
        <v>360</v>
      </c>
      <c r="B22" s="25" t="str">
        <f>'Analisi E27 — MAN'!B13</f>
        <v>Minimo privilegio</v>
      </c>
      <c r="C22" s="15" t="str">
        <f>'Analisi E27 — MAN'!F13</f>
        <v>CONFORME</v>
      </c>
      <c r="D22" s="15" t="str">
        <f>'Analisi E27 — MAN'!I13</f>
        <v>BASSA</v>
      </c>
      <c r="E22" s="25" t="str">
        <f>'Analisi E27 — MAN'!H13</f>
        <v>Eventuale richiesta tecnica al fornitore: privilegi specifici di esecuzione Agent Shell/Core su ATU (root vs service account).</v>
      </c>
    </row>
    <row r="23" spans="1:5" ht="30" customHeight="1" x14ac:dyDescent="0.3">
      <c r="A23" s="24" t="s">
        <v>361</v>
      </c>
      <c r="B23" s="25" t="str">
        <f>'Analisi E27 — MAN'!B14</f>
        <v>Controllo wireless</v>
      </c>
      <c r="C23" s="15" t="str">
        <f>'Analisi E27 — MAN'!F14</f>
        <v>CONFORME</v>
      </c>
      <c r="D23" s="15" t="str">
        <f>'Analisi E27 — MAN'!I14</f>
        <v>BASSA</v>
      </c>
      <c r="E23" s="25" t="str">
        <f>'Analisi E27 — MAN'!H14</f>
        <v>Verifica visiva on-site (vedi item 5).</v>
      </c>
    </row>
    <row r="24" spans="1:5" ht="30" customHeight="1" x14ac:dyDescent="0.3">
      <c r="A24" s="24" t="s">
        <v>362</v>
      </c>
      <c r="B24" s="25" t="str">
        <f>'Analisi E27 — MAN'!B15</f>
        <v>Dispositivi USB</v>
      </c>
      <c r="C24" s="15" t="str">
        <f>'Analisi E27 — MAN'!F15</f>
        <v>PARZIALMENTE CONFORME</v>
      </c>
      <c r="D24" s="15" t="str">
        <f>'Analisi E27 — MAN'!I15</f>
        <v>MEDIA</v>
      </c>
      <c r="E24" s="25" t="str">
        <f>'Analisi E27 — MAN'!H15</f>
        <v>Verifica on-site: USB disabilitato su ATU GNV in produzione (BIOS, GPO, EDR). Procedure di commissioning con USB autorizzato/tracciato.</v>
      </c>
    </row>
    <row r="25" spans="1:5" ht="30" customHeight="1" x14ac:dyDescent="0.3">
      <c r="A25" s="24" t="s">
        <v>363</v>
      </c>
      <c r="B25" s="25" t="str">
        <f>'Analisi E27 — MAN'!B16</f>
        <v>Mobile code</v>
      </c>
      <c r="C25" s="15" t="str">
        <f>'Analisi E27 — MAN'!F16</f>
        <v>CONFORME</v>
      </c>
      <c r="D25" s="15" t="str">
        <f>'Analisi E27 — MAN'!I16</f>
        <v>BASSA</v>
      </c>
      <c r="E25" s="25" t="str">
        <f>'Analisi E27 — MAN'!H16</f>
        <v>Verifica visiva durante demo CEON UI: lista plugin browser allowlist, JavaScript policy.</v>
      </c>
    </row>
    <row r="26" spans="1:5" ht="30" customHeight="1" x14ac:dyDescent="0.3">
      <c r="A26" s="24" t="s">
        <v>364</v>
      </c>
      <c r="B26" s="25" t="str">
        <f>'Analisi E27 — MAN'!B17</f>
        <v>Blocco sessione</v>
      </c>
      <c r="C26" s="15" t="str">
        <f>'Analisi E27 — MAN'!F17</f>
        <v>CONFORME</v>
      </c>
      <c r="D26" s="15" t="str">
        <f>'Analisi E27 — MAN'!I17</f>
        <v>BASSA</v>
      </c>
      <c r="E26" s="25" t="str">
        <f>'Analisi E27 — MAN'!H17</f>
        <v>Conferma operativa: durante demo CEON UI verificare il timeout effettivo (presumibilmente 15-30 min standard SaaS).</v>
      </c>
    </row>
    <row r="27" spans="1:5" ht="30" customHeight="1" x14ac:dyDescent="0.3">
      <c r="A27" s="24" t="s">
        <v>365</v>
      </c>
      <c r="B27" s="25" t="str">
        <f>'Analisi E27 — MAN'!B18</f>
        <v>Log eventi sicurezza</v>
      </c>
      <c r="C27" s="15" t="str">
        <f>'Analisi E27 — MAN'!F18</f>
        <v>CONFORME</v>
      </c>
      <c r="D27" s="15" t="str">
        <f>'Analisi E27 — MAN'!I18</f>
        <v>MEDIA</v>
      </c>
      <c r="E27" s="25" t="str">
        <f>'Analisi E27 — MAN'!H18</f>
        <v>Richiedere a MAN/Everllence: lista eventi loggati a livello CEON cloud + ATU, formato log, possibile esportazione verso SIEM cliente.</v>
      </c>
    </row>
    <row r="28" spans="1:5" ht="30" customHeight="1" x14ac:dyDescent="0.3">
      <c r="A28" s="24" t="s">
        <v>366</v>
      </c>
      <c r="B28" s="25" t="str">
        <f>'Analisi E27 — MAN'!B19</f>
        <v>Spazio storage log</v>
      </c>
      <c r="C28" s="15" t="str">
        <f>'Analisi E27 — MAN'!F19</f>
        <v>CONFORME</v>
      </c>
      <c r="D28" s="15" t="str">
        <f>'Analisi E27 — MAN'!I19</f>
        <v>BASSA</v>
      </c>
      <c r="E28" s="25" t="str">
        <f>'Analisi E27 — MAN'!H19</f>
        <v>Nessuna azione necessaria; periodi di retention specifici di prodotto possono essere richiesti al fornitore.</v>
      </c>
    </row>
    <row r="29" spans="1:5" ht="30" customHeight="1" x14ac:dyDescent="0.3">
      <c r="A29" s="24" t="s">
        <v>367</v>
      </c>
      <c r="B29" s="25" t="str">
        <f>'Analisi E27 — MAN'!B20</f>
        <v>Failure del logging</v>
      </c>
      <c r="C29" s="15" t="str">
        <f>'Analisi E27 — MAN'!F20</f>
        <v>PARZIALMENTE CONFORME</v>
      </c>
      <c r="D29" s="15" t="str">
        <f>'Analisi E27 — MAN'!I20</f>
        <v>BASSA</v>
      </c>
      <c r="E29" s="25" t="str">
        <f>'Analisi E27 — MAN'!H20</f>
        <v>Eventuale chiarimento al fornitore: comportamento applicativo del sistema CEON in caso di failure logging (alert/blocco/silente).</v>
      </c>
    </row>
    <row r="30" spans="1:5" ht="30" customHeight="1" x14ac:dyDescent="0.3">
      <c r="A30" s="24" t="s">
        <v>368</v>
      </c>
      <c r="B30" s="25" t="str">
        <f>'Analisi E27 — MAN'!B21</f>
        <v>Timestamp nei log</v>
      </c>
      <c r="C30" s="15" t="str">
        <f>'Analisi E27 — MAN'!F21</f>
        <v>CONFORME</v>
      </c>
      <c r="D30" s="15" t="str">
        <f>'Analisi E27 — MAN'!I21</f>
        <v>BASSA</v>
      </c>
      <c r="E30" s="25" t="str">
        <f>'Analisi E27 — MAN'!H21</f>
        <v>Verificare configurazione NTP sui PC ATU GNV durante visita on-site.</v>
      </c>
    </row>
    <row r="31" spans="1:5" ht="30" customHeight="1" x14ac:dyDescent="0.3">
      <c r="A31" s="24" t="s">
        <v>369</v>
      </c>
      <c r="B31" s="25" t="str">
        <f>'Analisi E27 — MAN'!B23</f>
        <v>Integrità comunicazioni</v>
      </c>
      <c r="C31" s="15" t="str">
        <f>'Analisi E27 — MAN'!F23</f>
        <v>CONFORME</v>
      </c>
      <c r="D31" s="15" t="str">
        <f>'Analisi E27 — MAN'!I23</f>
        <v>BASSA</v>
      </c>
      <c r="E31" s="25" t="str">
        <f>'Analisi E27 — MAN'!H23</f>
        <v>Richiedere a MAN/Everllence: versione TLS minima accettata, suite cipher disabilitate, gestione certificati TLS (validità, rotation).</v>
      </c>
    </row>
    <row r="32" spans="1:5" ht="30" customHeight="1" x14ac:dyDescent="0.3">
      <c r="A32" s="24" t="s">
        <v>370</v>
      </c>
      <c r="B32" s="25" t="str">
        <f>'Analisi E27 — MAN'!B24</f>
        <v>Protezione malware</v>
      </c>
      <c r="C32" s="15" t="str">
        <f>'Analisi E27 — MAN'!F24</f>
        <v>CONFORME</v>
      </c>
      <c r="D32" s="15" t="str">
        <f>'Analisi E27 — MAN'!I24</f>
        <v>MEDIA</v>
      </c>
      <c r="E32" s="25" t="str">
        <f>'Analisi E27 — MAN'!H24</f>
        <v>Richiedere a MAN/Everllence: presenza antivirus/EDR su ATU variant Windows, integrazione possibile con Cortex XDR (richiesto da GNV).</v>
      </c>
    </row>
    <row r="33" spans="1:5" ht="30" customHeight="1" x14ac:dyDescent="0.3">
      <c r="A33" s="24" t="s">
        <v>371</v>
      </c>
      <c r="B33" s="25" t="str">
        <f>'Analisi E27 — MAN'!B25</f>
        <v>Test sicurezza</v>
      </c>
      <c r="C33" s="15" t="str">
        <f>'Analisi E27 — MAN'!F25</f>
        <v>CONFORME</v>
      </c>
      <c r="D33" s="15" t="str">
        <f>'Analisi E27 — MAN'!I25</f>
        <v>BASSA</v>
      </c>
      <c r="E33" s="25" t="str">
        <f>'Analisi E27 — MAN'!H25</f>
        <v>Richiedere a MAN/Everllence: estratto findings principali del pentest 2025 (anche solo executive summary o lista categorie di vulnerabilità trovate), conferma chiusura findings critici/high.</v>
      </c>
    </row>
    <row r="34" spans="1:5" ht="30" customHeight="1" x14ac:dyDescent="0.3">
      <c r="A34" s="24" t="s">
        <v>372</v>
      </c>
      <c r="B34" s="25" t="str">
        <f>'Analisi E27 — MAN'!B26</f>
        <v>Stato sicuro (fail-safe)</v>
      </c>
      <c r="C34" s="15" t="str">
        <f>'Analisi E27 — MAN'!F26</f>
        <v>CONFORME</v>
      </c>
      <c r="D34" s="15" t="str">
        <f>'Analisi E27 — MAN'!I26</f>
        <v>BASSA</v>
      </c>
      <c r="E34" s="25" t="str">
        <f>'Analisi E27 — MAN'!H26</f>
        <v>Confermare con MAN che PSA è puramente advisory e non integrato nel controllo safety-critical motore.</v>
      </c>
    </row>
    <row r="35" spans="1:5" ht="30" customHeight="1" x14ac:dyDescent="0.3">
      <c r="A35" s="24" t="s">
        <v>373</v>
      </c>
      <c r="B35" s="25" t="str">
        <f>'Analisi E27 — MAN'!B28</f>
        <v>Protezione dati</v>
      </c>
      <c r="C35" s="15" t="str">
        <f>'Analisi E27 — MAN'!F28</f>
        <v>CONFORME</v>
      </c>
      <c r="D35" s="15" t="str">
        <f>'Analisi E27 — MAN'!I28</f>
        <v>BASSA</v>
      </c>
      <c r="E35" s="25" t="str">
        <f>'Analisi E27 — MAN'!H28</f>
        <v>Nessuna azione necessaria; eventuali dettagli tecnici (AES-256? AES-128? GCM?) richiedibili a MAN.</v>
      </c>
    </row>
    <row r="36" spans="1:5" ht="30" customHeight="1" x14ac:dyDescent="0.3">
      <c r="A36" s="24" t="s">
        <v>374</v>
      </c>
      <c r="B36" s="25" t="str">
        <f>'Analisi E27 — MAN'!B29</f>
        <v>Crittografia</v>
      </c>
      <c r="C36" s="15" t="str">
        <f>'Analisi E27 — MAN'!F29</f>
        <v>CONFORME</v>
      </c>
      <c r="D36" s="15" t="str">
        <f>'Analisi E27 — MAN'!I29</f>
        <v>BASSA</v>
      </c>
      <c r="E36" s="25" t="str">
        <f>'Analisi E27 — MAN'!H29</f>
        <v>Richiedere a MAN/Everllence: dettagli specifici (TLS minimum version 1.2 o 1.3, suite cipher accettate, AES-256 confermato).</v>
      </c>
    </row>
    <row r="37" spans="1:5" ht="30" customHeight="1" x14ac:dyDescent="0.3">
      <c r="A37" s="24" t="s">
        <v>375</v>
      </c>
      <c r="B37" s="25" t="str">
        <f>'Analisi E27 — MAN'!B31</f>
        <v>Accessibilità log audit</v>
      </c>
      <c r="C37" s="15" t="str">
        <f>'Analisi E27 — MAN'!F31</f>
        <v>PARZIALMENTE CONFORME</v>
      </c>
      <c r="D37" s="15" t="str">
        <f>'Analisi E27 — MAN'!I31</f>
        <v>MEDIA</v>
      </c>
      <c r="E37" s="25" t="str">
        <f>'Analisi E27 — MAN'!H31</f>
        <v>Richiedere a MAN: meccanismo di accesso log audit lato cliente (UI CEON, API, syslog forwarding); formato esportabile (JSON, CEF, syslog) per integrazione SIEM cliente Cortex XDR.</v>
      </c>
    </row>
    <row r="38" spans="1:5" ht="30" customHeight="1" x14ac:dyDescent="0.3">
      <c r="A38" s="24" t="s">
        <v>376</v>
      </c>
      <c r="B38" s="25" t="str">
        <f>'Analisi E27 — MAN'!B33</f>
        <v>Protezione DoS</v>
      </c>
      <c r="C38" s="15" t="str">
        <f>'Analisi E27 — MAN'!F33</f>
        <v>CONFORME</v>
      </c>
      <c r="D38" s="15" t="str">
        <f>'Analisi E27 — MAN'!I33</f>
        <v>BASSA</v>
      </c>
      <c r="E38" s="25" t="str">
        <f>'Analisi E27 — MAN'!H33</f>
        <v>Richiedere a MAN: AWS Shield Standard o Advanced? Protezioni rate limiting su API CEON?</v>
      </c>
    </row>
    <row r="39" spans="1:5" ht="30" customHeight="1" x14ac:dyDescent="0.3">
      <c r="A39" s="24" t="s">
        <v>377</v>
      </c>
      <c r="B39" s="25" t="str">
        <f>'Analisi E27 — MAN'!B34</f>
        <v>Gestione risorse</v>
      </c>
      <c r="C39" s="15" t="str">
        <f>'Analisi E27 — MAN'!F34</f>
        <v>CONFORME</v>
      </c>
      <c r="D39" s="15" t="str">
        <f>'Analisi E27 — MAN'!I34</f>
        <v>BASSA</v>
      </c>
      <c r="E39" s="25" t="str">
        <f>'Analisi E27 — MAN'!H34</f>
        <v>Verifica monitoring CPU/RAM/disco ATU su navi GNV in produzione, alert configurati.</v>
      </c>
    </row>
    <row r="40" spans="1:5" ht="30" customHeight="1" x14ac:dyDescent="0.3">
      <c r="A40" s="24" t="s">
        <v>378</v>
      </c>
      <c r="B40" s="25" t="str">
        <f>'Analisi E27 — MAN'!B35</f>
        <v>Backup</v>
      </c>
      <c r="C40" s="15" t="str">
        <f>'Analisi E27 — MAN'!F35</f>
        <v>CONFORME</v>
      </c>
      <c r="D40" s="15" t="str">
        <f>'Analisi E27 — MAN'!I35</f>
        <v>BASSA</v>
      </c>
      <c r="E40" s="25" t="str">
        <f>'Analisi E27 — MAN'!H35</f>
        <v>Richiedere a MAN: frequenza backup CEON cloud, retention, possibilità di restore on-demand su richiesta cliente.</v>
      </c>
    </row>
    <row r="41" spans="1:5" ht="30" customHeight="1" x14ac:dyDescent="0.3">
      <c r="A41" s="24" t="s">
        <v>379</v>
      </c>
      <c r="B41" s="25" t="str">
        <f>'Analisi E27 — MAN'!B36</f>
        <v>Ripristino</v>
      </c>
      <c r="C41" s="15" t="str">
        <f>'Analisi E27 — MAN'!F36</f>
        <v>CONFORME</v>
      </c>
      <c r="D41" s="15" t="str">
        <f>'Analisi E27 — MAN'!I36</f>
        <v>MEDIA</v>
      </c>
      <c r="E41" s="25" t="str">
        <f>'Analisi E27 — MAN'!H36</f>
        <v>Verificare con MAN: tempi RTO/RPO documentati, runbook formale di disaster recovery.</v>
      </c>
    </row>
    <row r="42" spans="1:5" ht="30" customHeight="1" x14ac:dyDescent="0.3">
      <c r="A42" s="24" t="s">
        <v>380</v>
      </c>
      <c r="B42" s="25" t="str">
        <f>'Analisi E27 — MAN'!B37</f>
        <v>Alimentazione emergenza</v>
      </c>
      <c r="C42" s="15" t="str">
        <f>'Analisi E27 — MAN'!F37</f>
        <v>PARZIALMENTE CONFORME</v>
      </c>
      <c r="D42" s="15" t="str">
        <f>'Analisi E27 — MAN'!I37</f>
        <v>MEDIA</v>
      </c>
      <c r="E42" s="25" t="str">
        <f>'Analisi E27 — MAN'!H37</f>
        <v>Verifica nave per nave: UPS presente in ECR per alimentare mGuard + Managed Switch + EMS, autonomia adeguata, manutenzione periodica.</v>
      </c>
    </row>
    <row r="43" spans="1:5" ht="30" customHeight="1" x14ac:dyDescent="0.3">
      <c r="A43" s="24" t="s">
        <v>381</v>
      </c>
      <c r="B43" s="25" t="str">
        <f>'Analisi E27 — MAN'!B38</f>
        <v>Configurazione rete</v>
      </c>
      <c r="C43" s="15" t="str">
        <f>'Analisi E27 — MAN'!F38</f>
        <v>CONFORME</v>
      </c>
      <c r="D43" s="15" t="str">
        <f>'Analisi E27 — MAN'!I38</f>
        <v>BASSA</v>
      </c>
      <c r="E43" s="25" t="str">
        <f>'Analisi E27 — MAN'!H38</f>
        <v>Verifica nave per nave: rispetto delle regole firewall come da Tabella 1, segregazione VLAN MAN da VLAN GNV.</v>
      </c>
    </row>
    <row r="44" spans="1:5" ht="30" customHeight="1" x14ac:dyDescent="0.3">
      <c r="A44" s="24" t="s">
        <v>382</v>
      </c>
      <c r="B44" s="25" t="str">
        <f>'Analisi E27 — MAN'!B39</f>
        <v>Hardening</v>
      </c>
      <c r="C44" s="15" t="str">
        <f>'Analisi E27 — MAN'!F39</f>
        <v>CONFORME</v>
      </c>
      <c r="D44" s="15" t="str">
        <f>'Analisi E27 — MAN'!I39</f>
        <v>BASSA</v>
      </c>
      <c r="E44" s="25" t="str">
        <f>'Analisi E27 — MAN'!H39</f>
        <v>Richiedere a MAN: documento hardening guidelines formale (CIS Benchmark? STIG? proprietary checklist?), eventuali eccezioni documentate.</v>
      </c>
    </row>
    <row r="45" spans="1:5" ht="22.5" customHeight="1" x14ac:dyDescent="0.3">
      <c r="A45" s="31" t="s">
        <v>383</v>
      </c>
      <c r="B45" s="27"/>
      <c r="C45" s="27"/>
      <c r="D45" s="27"/>
      <c r="E45" s="27"/>
    </row>
    <row r="46" spans="1:5" ht="30" customHeight="1" x14ac:dyDescent="0.3">
      <c r="A46" s="24" t="s">
        <v>384</v>
      </c>
      <c r="B46" s="25" t="str">
        <f>'Analisi E27 — MAN'!B42</f>
        <v>MFA per utenti umani</v>
      </c>
      <c r="C46" s="15" t="str">
        <f>'Analisi E27 — MAN'!F42</f>
        <v>CONFORME</v>
      </c>
      <c r="D46" s="15" t="str">
        <f>'Analisi E27 — MAN'!I42</f>
        <v>BASSA</v>
      </c>
      <c r="E46" s="25" t="str">
        <f>'Analisi E27 — MAN'!H42</f>
        <v>Verificare lato GNV: enforcement MFA per tutti gli utenti GNV che accedono a CEON, no eccezioni operative (no utenze condivise).</v>
      </c>
    </row>
    <row r="47" spans="1:5" ht="30" customHeight="1" x14ac:dyDescent="0.3">
      <c r="A47" s="24" t="s">
        <v>385</v>
      </c>
      <c r="B47" s="25" t="str">
        <f>'Analisi E27 — MAN'!B43</f>
        <v>Identificazione software e dispositivi</v>
      </c>
      <c r="C47" s="15" t="str">
        <f>'Analisi E27 — MAN'!F43</f>
        <v>CONFORME</v>
      </c>
      <c r="D47" s="15" t="str">
        <f>'Analisi E27 — MAN'!I43</f>
        <v>MEDIA</v>
      </c>
      <c r="E47" s="25" t="str">
        <f>'Analisi E27 — MAN'!H43</f>
        <v>Richiedere a MAN: meccanismo di identificazione (certificate-based? device ID? token?), gestione revoca dispositivi compromessi.</v>
      </c>
    </row>
    <row r="48" spans="1:5" ht="30" customHeight="1" x14ac:dyDescent="0.3">
      <c r="A48" s="24" t="s">
        <v>386</v>
      </c>
      <c r="B48" s="25" t="str">
        <f>'Analisi E27 — MAN'!B44</f>
        <v>Blocco tentativi login falliti</v>
      </c>
      <c r="C48" s="15" t="str">
        <f>'Analisi E27 — MAN'!F44</f>
        <v>PARZIALMENTE CONFORME</v>
      </c>
      <c r="D48" s="15" t="str">
        <f>'Analisi E27 — MAN'!I44</f>
        <v>ALTA</v>
      </c>
      <c r="E48" s="25" t="str">
        <f>'Analisi E27 — MAN'!H44</f>
        <v>Confermare a MAN: la stessa policy AWS si applica agli utenti CEON Web UI o esiste configurazione MAN-specifica? Soglia, durata blocco, modalità riattivazione?</v>
      </c>
    </row>
    <row r="49" spans="1:5" ht="30" customHeight="1" x14ac:dyDescent="0.3">
      <c r="A49" s="24" t="s">
        <v>387</v>
      </c>
      <c r="B49" s="25" t="str">
        <f>'Analisi E27 — MAN'!B45</f>
        <v>Banner avviso uso sistema</v>
      </c>
      <c r="C49" s="15" t="str">
        <f>'Analisi E27 — MAN'!F45</f>
        <v>PARZIALMENTE CONFORME</v>
      </c>
      <c r="D49" s="15" t="str">
        <f>'Analisi E27 — MAN'!I45</f>
        <v>BASSA</v>
      </c>
      <c r="E49" s="25" t="str">
        <f>'Analisi E27 — MAN'!H45</f>
        <v>Richiedere a MAN il documento 'Logon banners policies and standard language' (Whistic H.0.12). Verificare se è applicabile/configurabile su CEON UI cliente.</v>
      </c>
    </row>
    <row r="50" spans="1:5" ht="30" customHeight="1" x14ac:dyDescent="0.3">
      <c r="A50" s="24" t="s">
        <v>388</v>
      </c>
      <c r="B50" s="25" t="str">
        <f>'Analisi E27 — MAN'!B46</f>
        <v>Accesso da reti untrusted</v>
      </c>
      <c r="C50" s="15" t="str">
        <f>'Analisi E27 — MAN'!F46</f>
        <v>CONFORME</v>
      </c>
      <c r="D50" s="15" t="str">
        <f>'Analisi E27 — MAN'!I46</f>
        <v>MEDIA</v>
      </c>
      <c r="E50" s="25" t="str">
        <f>'Analisi E27 — MAN'!H46</f>
        <v>1) Definire policy GNV: chi è autorizzato a ruotare la chiave RAC (master, CCO, chief engineer)? 2) Procedura di registrazione/log delle sessioni di remote access abilitate (data/ora, motivazione, durata). 3) Verifica che lo stato della chiave sia visibile/auditabile (LED visibili da posto di guardia). 4) Conservazione/gestione fisica della chiave.</v>
      </c>
    </row>
    <row r="51" spans="1:5" ht="30" customHeight="1" x14ac:dyDescent="0.3">
      <c r="A51" s="24" t="s">
        <v>389</v>
      </c>
      <c r="B51" s="25" t="str">
        <f>'Analisi E27 — MAN'!B47</f>
        <v>Approvazione esplicita accessi</v>
      </c>
      <c r="C51" s="15" t="str">
        <f>'Analisi E27 — MAN'!F47</f>
        <v>CONFORME</v>
      </c>
      <c r="D51" s="15" t="str">
        <f>'Analisi E27 — MAN'!I47</f>
        <v>MEDIA</v>
      </c>
      <c r="E51" s="25" t="str">
        <f>'Analisi E27 — MAN'!H47</f>
        <v>Definire procedura formale GNV: 1) Custodia chiave RAC (capitano? CCO?). 2) Log cartaceo o digitale di ogni sessione di remote access abilitata (data, ora, durata, motivo, chi ha autorizzato, chi ha richiesto da remoto). 3) Tempistiche standard (es. mai abilitato in continuo, solo durante intervento programmato).</v>
      </c>
    </row>
    <row r="52" spans="1:5" ht="30" customHeight="1" x14ac:dyDescent="0.3">
      <c r="A52" s="24" t="s">
        <v>390</v>
      </c>
      <c r="B52" s="25" t="str">
        <f>'Analisi E27 — MAN'!B49</f>
        <v>Terminazione sessione remota</v>
      </c>
      <c r="C52" s="15" t="str">
        <f>'Analisi E27 — MAN'!F49</f>
        <v>CONFORME</v>
      </c>
      <c r="D52" s="15" t="str">
        <f>'Analisi E27 — MAN'!I49</f>
        <v>BASSA</v>
      </c>
      <c r="E52" s="25" t="str">
        <f>'Analisi E27 — MAN'!H49</f>
        <v>Verifica operativa: durante una sessione di service remoto MAN, riprodurre il flusso completo (apertura via RAC ON, sessione attiva, chiusura via RAC OFF) per documentare comportamento del canale.</v>
      </c>
    </row>
    <row r="53" spans="1:5" ht="30" customHeight="1" x14ac:dyDescent="0.3">
      <c r="A53" s="24" t="s">
        <v>391</v>
      </c>
      <c r="B53" s="25" t="str">
        <f>'Analisi E27 — MAN'!B51</f>
        <v>Integrità crittografica comunicazioni</v>
      </c>
      <c r="C53" s="15" t="str">
        <f>'Analisi E27 — MAN'!F51</f>
        <v>CONFORME</v>
      </c>
      <c r="D53" s="15" t="str">
        <f>'Analisi E27 — MAN'!I51</f>
        <v>BASSA</v>
      </c>
      <c r="E53" s="25" t="str">
        <f>'Analisi E27 — MAN'!H51</f>
        <v>Nessuna azione specifica.</v>
      </c>
    </row>
    <row r="54" spans="1:5" ht="30" customHeight="1" x14ac:dyDescent="0.3">
      <c r="A54" s="24" t="s">
        <v>392</v>
      </c>
      <c r="B54" s="25" t="str">
        <f>'Analisi E27 — MAN'!B52</f>
        <v>Validazione input</v>
      </c>
      <c r="C54" s="15" t="str">
        <f>'Analisi E27 — MAN'!F52</f>
        <v>CONFORME</v>
      </c>
      <c r="D54" s="15" t="str">
        <f>'Analisi E27 — MAN'!I52</f>
        <v>BASSA</v>
      </c>
      <c r="E54" s="25" t="str">
        <f>'Analisi E27 — MAN'!H52</f>
        <v>Eventuale richiesta a MAN/Everllence: estratto pentest (executive summary anche aggregato) per evidenza categorie findings testate, incluse SQL injection / XSS / input validation specifici.</v>
      </c>
    </row>
    <row r="55" spans="1:5" ht="30" customHeight="1" x14ac:dyDescent="0.3">
      <c r="A55" s="24" t="s">
        <v>393</v>
      </c>
      <c r="B55" s="25" t="str">
        <f>'Analisi E27 — MAN'!B53</f>
        <v>Integrità sessione</v>
      </c>
      <c r="C55" s="15" t="str">
        <f>'Analisi E27 — MAN'!F53</f>
        <v>PARZIALMENTE CONFORME</v>
      </c>
      <c r="D55" s="15" t="str">
        <f>'Analisi E27 — MAN'!I53</f>
        <v>BASSA</v>
      </c>
      <c r="E55" s="25" t="str">
        <f>'Analisi E27 — MAN'!H53</f>
        <v>Eventuale chiarimento al fornitore: meccanismi specifici anti-CSRF, secure cookie flags, session token rotation su CEON Web UI.</v>
      </c>
    </row>
    <row r="56" spans="1:5" ht="30" customHeight="1" x14ac:dyDescent="0.3">
      <c r="A56" s="24" t="s">
        <v>394</v>
      </c>
      <c r="B56" s="25" t="str">
        <f>'Analisi E27 — MAN'!B54</f>
        <v>Invalidazione ID sessione al logout</v>
      </c>
      <c r="C56" s="15" t="str">
        <f>'Analisi E27 — MAN'!F54</f>
        <v>PARZIALMENTE CONFORME</v>
      </c>
      <c r="D56" s="15" t="str">
        <f>'Analisi E27 — MAN'!I54</f>
        <v>BASSA</v>
      </c>
      <c r="E56" s="25" t="str">
        <f>'Analisi E27 — MAN'!H54</f>
        <v>Eventuale chiarimento al fornitore: comportamento al logout su CEON Web UI (invalidation server-side, revoca token, blacklist).</v>
      </c>
    </row>
    <row r="57" spans="1:5" ht="22.5" customHeight="1" x14ac:dyDescent="0.3">
      <c r="A57" s="31" t="s">
        <v>395</v>
      </c>
      <c r="B57" s="27"/>
      <c r="C57" s="27"/>
      <c r="D57" s="27"/>
      <c r="E57" s="27"/>
    </row>
    <row r="58" spans="1:5" ht="30" customHeight="1" x14ac:dyDescent="0.3">
      <c r="A58" s="24" t="s">
        <v>270</v>
      </c>
      <c r="B58" s="25" t="str">
        <f>'Analisi E27 — MAN'!B56</f>
        <v>CBS Asset inventory</v>
      </c>
      <c r="C58" s="15" t="str">
        <f>'Analisi E27 — MAN'!F56</f>
        <v>PARZIALMENTE CONFORME</v>
      </c>
      <c r="D58" s="15" t="str">
        <f>'Analisi E27 — MAN'!I56</f>
        <v>MEDIA</v>
      </c>
      <c r="E58" s="25" t="str">
        <f>'Analisi E27 — MAN'!H56</f>
        <v>1) Richiedere a GNV (Loris Vosilla / Walter Piu): lista navi GNV con sistema MAN PSA installato. 2) Richiedere a MAN: lista navi GNV con dettagli software version, ATU hardware version, ECS firmware version. 3) Documentare configurazione IP/VLAN per ogni nave.</v>
      </c>
    </row>
    <row r="59" spans="1:5" ht="30" customHeight="1" x14ac:dyDescent="0.3">
      <c r="A59" s="24" t="s">
        <v>277</v>
      </c>
      <c r="B59" s="25" t="str">
        <f>'Analisi E27 — MAN'!B57</f>
        <v>Management of change plan</v>
      </c>
      <c r="C59" s="15" t="str">
        <f>'Analisi E27 — MAN'!F57</f>
        <v>CONFORME</v>
      </c>
      <c r="D59" s="15" t="str">
        <f>'Analisi E27 — MAN'!I57</f>
        <v>MEDIA</v>
      </c>
      <c r="E59" s="25" t="str">
        <f>'Analisi E27 — MAN'!H57</f>
        <v>Richiedere a MAN: notifica preventiva al cliente prima di rollout release? Possibilità per il cliente di posticipare update in finestre operative critiche? Procedura emergency rollback se update fallisce.</v>
      </c>
    </row>
    <row r="60" spans="1:5" ht="30" customHeight="1" x14ac:dyDescent="0.3">
      <c r="A60" s="24" t="s">
        <v>284</v>
      </c>
      <c r="B60" s="25" t="str">
        <f>'Analisi E27 — MAN'!B58</f>
        <v>Test reports</v>
      </c>
      <c r="C60" s="15" t="str">
        <f>'Analisi E27 — MAN'!F58</f>
        <v>CONFORME</v>
      </c>
      <c r="D60" s="15" t="str">
        <f>'Analisi E27 — MAN'!I58</f>
        <v>BASSA</v>
      </c>
      <c r="E60" s="25" t="str">
        <f>'Analisi E27 — MAN'!H58</f>
        <v>Richiedere a MAN/Everllence: estratto pentest 2025 (executive summary o lista categorie findings), conferma chiusura findings critici/high pre-rilascio, allineamento ABS CyberSafety Volume 7 (Security FAQ_v3.docx menziona certificazione).</v>
      </c>
    </row>
    <row r="61" spans="1:5" ht="22.5" customHeight="1" x14ac:dyDescent="0.3">
      <c r="A61" s="31" t="s">
        <v>396</v>
      </c>
      <c r="B61" s="27"/>
      <c r="C61" s="27"/>
      <c r="D61" s="27"/>
      <c r="E61" s="27"/>
    </row>
    <row r="62" spans="1:5" ht="30" customHeight="1" x14ac:dyDescent="0.3">
      <c r="A62" s="24" t="s">
        <v>292</v>
      </c>
      <c r="B62" s="25" t="str">
        <f>'Analisi E27 — MAN'!B60</f>
        <v>Controllo chiavi private</v>
      </c>
      <c r="C62" s="15" t="str">
        <f>'Analisi E27 — MAN'!F60</f>
        <v>CONFORME</v>
      </c>
      <c r="D62" s="15" t="str">
        <f>'Analisi E27 — MAN'!I60</f>
        <v>BASSA</v>
      </c>
      <c r="E62" s="25" t="str">
        <f>'Analisi E27 — MAN'!H60</f>
        <v>Richiedere a MAN: separation of duties per accesso a chiavi (chi può usarle vs chi può vederle), key rotation policy, customer-managed keys vs AWS-managed keys.</v>
      </c>
    </row>
    <row r="63" spans="1:5" ht="30" customHeight="1" x14ac:dyDescent="0.3">
      <c r="A63" s="24" t="s">
        <v>299</v>
      </c>
      <c r="B63" s="25" t="str">
        <f>'Analisi E27 — MAN'!B61</f>
        <v>Documentazione aggiornamenti sicurezza</v>
      </c>
      <c r="C63" s="15" t="str">
        <f>'Analisi E27 — MAN'!F61</f>
        <v>CONFORME</v>
      </c>
      <c r="D63" s="15" t="str">
        <f>'Analisi E27 — MAN'!I61</f>
        <v>MEDIA</v>
      </c>
      <c r="E63" s="25" t="str">
        <f>'Analisi E27 — MAN'!H61</f>
        <v>Iscriversi/registrarsi presso il canale di security advisory MAN-ES per ricevere notifiche proattive delle vulnerabilità (richiesta a MAN via canale ufficiale).</v>
      </c>
    </row>
    <row r="64" spans="1:5" ht="30" customHeight="1" x14ac:dyDescent="0.3">
      <c r="A64" s="24" t="s">
        <v>306</v>
      </c>
      <c r="B64" s="25" t="str">
        <f>'Analisi E27 — MAN'!B62</f>
        <v>Aggiornamenti componenti dipendenti</v>
      </c>
      <c r="C64" s="15" t="str">
        <f>'Analisi E27 — MAN'!F62</f>
        <v>PARZIALMENTE CONFORME</v>
      </c>
      <c r="D64" s="15" t="str">
        <f>'Analisi E27 — MAN'!I62</f>
        <v>MEDIA</v>
      </c>
      <c r="E64" s="25" t="str">
        <f>'Analisi E27 — MAN'!H62</f>
        <v>Richiedere a MAN/Everllence: SBOM completo (componenti open source, versioni, licenze), processo di tracking CVE per dipendenze.</v>
      </c>
    </row>
    <row r="65" spans="1:5" ht="30" customHeight="1" x14ac:dyDescent="0.3">
      <c r="A65" s="24" t="s">
        <v>313</v>
      </c>
      <c r="B65" s="25" t="str">
        <f>'Analisi E27 — MAN'!B63</f>
        <v>Distribuzione aggiornamenti sicurezza</v>
      </c>
      <c r="C65" s="15" t="str">
        <f>'Analisi E27 — MAN'!F63</f>
        <v>CONFORME</v>
      </c>
      <c r="D65" s="15" t="str">
        <f>'Analisi E27 — MAN'!I63</f>
        <v>BASSA</v>
      </c>
      <c r="E65" s="25" t="str">
        <f>'Analisi E27 — MAN'!H63</f>
        <v>Richiedere a MAN: firma digitale verificata su Agent Core / Shell durante installazione, integrità verificata al boot, signing key infrastructure.</v>
      </c>
    </row>
    <row r="66" spans="1:5" ht="30" customHeight="1" x14ac:dyDescent="0.3">
      <c r="A66" s="24" t="s">
        <v>320</v>
      </c>
      <c r="B66" s="25" t="str">
        <f>'Analisi E27 — MAN'!B64</f>
        <v>Defence in depth del prodotto</v>
      </c>
      <c r="C66" s="15" t="str">
        <f>'Analisi E27 — MAN'!F64</f>
        <v>CONFORME</v>
      </c>
      <c r="D66" s="15" t="str">
        <f>'Analisi E27 — MAN'!I64</f>
        <v>BASSA</v>
      </c>
      <c r="E66" s="25" t="str">
        <f>'Analisi E27 — MAN'!H64</f>
        <v>Nessuna azione specifica.</v>
      </c>
    </row>
    <row r="67" spans="1:5" ht="30" customHeight="1" x14ac:dyDescent="0.3">
      <c r="A67" s="24" t="s">
        <v>326</v>
      </c>
      <c r="B67" s="25" t="str">
        <f>'Analisi E27 — MAN'!B65</f>
        <v>Defence in depth ambiente esterno</v>
      </c>
      <c r="C67" s="15" t="str">
        <f>'Analisi E27 — MAN'!F65</f>
        <v>CONFORME</v>
      </c>
      <c r="D67" s="15" t="str">
        <f>'Analisi E27 — MAN'!I65</f>
        <v>BASSA</v>
      </c>
      <c r="E67" s="25" t="str">
        <f>'Analisi E27 — MAN'!H65</f>
        <v>Verifica nave per nave: rispetto integrale delle connectivity checklist Everllence durante installazione GNV.</v>
      </c>
    </row>
    <row r="68" spans="1:5" ht="30" customHeight="1" x14ac:dyDescent="0.3">
      <c r="A68" s="24" t="s">
        <v>333</v>
      </c>
      <c r="B68" s="25" t="str">
        <f>'Analisi E27 — MAN'!B66</f>
        <v>Hardening guidelines</v>
      </c>
      <c r="C68" s="15" t="str">
        <f>'Analisi E27 — MAN'!F66</f>
        <v>CONFORME</v>
      </c>
      <c r="D68" s="15" t="str">
        <f>'Analisi E27 — MAN'!I66</f>
        <v>BASSA</v>
      </c>
      <c r="E68" s="25" t="str">
        <f>'Analisi E27 — MAN'!H66</f>
        <v>Richiedere a MAN: documento formale dei controlli di hardening applicati (CIS Benchmark? STIG? checklist proprietaria?), evidenze BIOS lock B&amp;R APC2200, eventuali eccezioni documentate.</v>
      </c>
    </row>
    <row r="71" spans="1:5" ht="15" customHeight="1" x14ac:dyDescent="0.3">
      <c r="A71" s="16"/>
    </row>
    <row r="72" spans="1:5" ht="15" customHeight="1" x14ac:dyDescent="0.3">
      <c r="A72" s="17"/>
    </row>
  </sheetData>
  <mergeCells count="7">
    <mergeCell ref="A61:E61"/>
    <mergeCell ref="A3:E3"/>
    <mergeCell ref="A12:E12"/>
    <mergeCell ref="A57:E57"/>
    <mergeCell ref="A45:E45"/>
    <mergeCell ref="A1:E1"/>
    <mergeCell ref="A14:E14"/>
  </mergeCells>
  <conditionalFormatting sqref="C14:C68">
    <cfRule type="cellIs" dxfId="7" priority="6" operator="equal">
      <formula>"CONFORME"</formula>
    </cfRule>
    <cfRule type="cellIs" dxfId="6" priority="7" operator="equal">
      <formula>"PARZIALMENTE CONFORME"</formula>
    </cfRule>
    <cfRule type="cellIs" dxfId="5" priority="8" operator="equal">
      <formula>"NON CONFORME"</formula>
    </cfRule>
    <cfRule type="cellIs" dxfId="4" priority="9" operator="equal">
      <formula>"DA VERIFICARE"</formula>
    </cfRule>
    <cfRule type="cellIs" dxfId="3" priority="10" operator="equal">
      <formula>"N/A"</formula>
    </cfRule>
  </conditionalFormatting>
  <conditionalFormatting sqref="D14:D68">
    <cfRule type="cellIs" dxfId="2" priority="11" operator="equal">
      <formula>"ALTA"</formula>
    </cfRule>
    <cfRule type="cellIs" dxfId="1" priority="12" operator="equal">
      <formula>"MEDIA"</formula>
    </cfRule>
    <cfRule type="cellIs" dxfId="0" priority="13" operator="equal">
      <formula>"BASSA"</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Analisi E27 — MAN</vt:lpstr>
      <vt:lpstr>Riepilogo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Moustafa Ali - HWG Sababa</cp:lastModifiedBy>
  <dcterms:created xsi:type="dcterms:W3CDTF">2026-04-24T07:10:04Z</dcterms:created>
  <dcterms:modified xsi:type="dcterms:W3CDTF">2026-04-29T10:03:43Z</dcterms:modified>
</cp:coreProperties>
</file>